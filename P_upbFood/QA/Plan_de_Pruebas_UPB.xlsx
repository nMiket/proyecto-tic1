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Plan de Pruebas Funcionales" sheetId="2" r:id="rId5"/>
    <sheet state="visible" name="Resumen" sheetId="3" r:id="rId6"/>
    <sheet state="visible" name="Checklist Seguridad" sheetId="4" r:id="rId7"/>
    <sheet state="visible" name="Checklis Ux" sheetId="5" r:id="rId8"/>
    <sheet state="visible" name="Matriz Perfiles" sheetId="6" r:id="rId9"/>
    <sheet state="visible" name="Matriz de Roles y Perfiles" sheetId="7" r:id="rId10"/>
  </sheets>
  <definedNames>
    <definedName hidden="1" localSheetId="1" name="_xlnm._FilterDatabase">'Plan de Pruebas Funcionales'!$A$1:$L$277</definedName>
  </definedNames>
  <calcPr/>
  <extLst>
    <ext uri="GoogleSheetsCustomDataVersion2">
      <go:sheetsCustomData xmlns:go="http://customooxmlschemas.google.com/" r:id="rId11" roundtripDataChecksum="CHpOkY3QokFA2s2CV/O+nLkk/pLTFS1OMxkVq6fw3kQ="/>
    </ext>
  </extLst>
</workbook>
</file>

<file path=xl/sharedStrings.xml><?xml version="1.0" encoding="utf-8"?>
<sst xmlns="http://schemas.openxmlformats.org/spreadsheetml/2006/main" count="3206" uniqueCount="1138">
  <si>
    <t>RESUMEN DE AVANCE POR HISTORIA DE USUARIO</t>
  </si>
  <si>
    <t>PLAN DE PRUEBAS</t>
  </si>
  <si>
    <t>PLAN DE PRUEBAS FUNCIONALES — Trazabilidad Criterio de Aceptación → Prueba</t>
  </si>
  <si>
    <t>CHECKLIST DE SEGURIDAD — Plataforma de Pedidos Cafeterías UPB</t>
  </si>
  <si>
    <t>Categoría</t>
  </si>
  <si>
    <t>HU</t>
  </si>
  <si>
    <t>Plataforma Web para la Gestión de Pedidos en las Cafeterías y Restaurantes de la UPB</t>
  </si>
  <si>
    <t>N°</t>
  </si>
  <si>
    <t>Nombre HU</t>
  </si>
  <si>
    <t>Criterio</t>
  </si>
  <si>
    <t>Total criterios</t>
  </si>
  <si>
    <t>Sprint</t>
  </si>
  <si>
    <t>OK</t>
  </si>
  <si>
    <t>✓ / X</t>
  </si>
  <si>
    <t>N° Criterio</t>
  </si>
  <si>
    <t>ERROR</t>
  </si>
  <si>
    <t>Observaciones</t>
  </si>
  <si>
    <t>Criterio de aceptación</t>
  </si>
  <si>
    <t>PENDIENTE</t>
  </si>
  <si>
    <t>Descripción de la prueba</t>
  </si>
  <si>
    <t>% Completado (OK)</t>
  </si>
  <si>
    <t>Datos de entrada</t>
  </si>
  <si>
    <t>Autenticación</t>
  </si>
  <si>
    <t>Resultado esperado</t>
  </si>
  <si>
    <t>HU001</t>
  </si>
  <si>
    <t>Responsable</t>
  </si>
  <si>
    <t>Integrantes:</t>
  </si>
  <si>
    <t>Resultado obtenido</t>
  </si>
  <si>
    <t>Estado (OK/ERROR/PENDIENTE)</t>
  </si>
  <si>
    <t>Requiere usuario y contraseña</t>
  </si>
  <si>
    <t>Lista de restaurantes y cafeterías</t>
  </si>
  <si>
    <t>Ismael López Cardozo, Andrés Felipe Martínez Taborda, Valeria Gómez Arcila, Julián Eduardo Miranda Salazar</t>
  </si>
  <si>
    <t>Sprint 1</t>
  </si>
  <si>
    <t>✓</t>
  </si>
  <si>
    <t>Debe mostrar un listado de restaurantes y cafeterías disponibles.</t>
  </si>
  <si>
    <t>Verificar el cumplimiento del criterio de aceptación: Debe mostrar un listado de restaurantes y cafeterías disponibles.</t>
  </si>
  <si>
    <t>Acceso y ejecución de la funcionalidad correspondiente</t>
  </si>
  <si>
    <t>Julián Miranda</t>
  </si>
  <si>
    <t>Curso:</t>
  </si>
  <si>
    <t>Cumple según lo verificado en la prueba de seguridad ejecutada</t>
  </si>
  <si>
    <t>Proyecto Aplicado en TIC 1</t>
  </si>
  <si>
    <t>Verificado en pantalla de login administrativo (HU012) y endpoints protegidos con credenciales obligatorias.</t>
  </si>
  <si>
    <t>Docente:</t>
  </si>
  <si>
    <t>Yuri Marcela Escobar</t>
  </si>
  <si>
    <t>No permite acceso sin login</t>
  </si>
  <si>
    <t>Filtro JwtAuthenticationFilter bloquea peticiones no autenticadas retornando HTTP 401 Unauthorized.</t>
  </si>
  <si>
    <t>Metodología:</t>
  </si>
  <si>
    <t>La lista debe visualizarse en formato vertical tipo tarjetas.</t>
  </si>
  <si>
    <t>Mantiene la sesión de forma segura mediante token (JWT)</t>
  </si>
  <si>
    <t>Verificar el cumplimiento del criterio de aceptación: La lista debe visualizarse en formato vertical tipo tarjetas.</t>
  </si>
  <si>
    <t>Scrumban (Sprints de 2 semanas + GitHub Projects)</t>
  </si>
  <si>
    <t>Formulario con campos vacíos y con formatos inválidos</t>
  </si>
  <si>
    <t>Probado y verificado en HU012 y HU023 con expiración, firma HMAC y Claims de usuario.</t>
  </si>
  <si>
    <t>La pantalla debe ser responsive para la página web.</t>
  </si>
  <si>
    <t>Base de trazabilidad:</t>
  </si>
  <si>
    <t>Roles</t>
  </si>
  <si>
    <t>Verificar el cumplimiento del criterio de aceptación: La pantalla debe ser responsive para la página web.</t>
  </si>
  <si>
    <t>Existen roles definidos</t>
  </si>
  <si>
    <t>Acceso desde distintos tamaños de pantalla (móvil, tablet, escritorio)</t>
  </si>
  <si>
    <t>Formato_Historias_Usuarionuevo.xlsx (criterios de aceptación oficiales, HU001–HU019) y Historias_de_Usuario_UPB_Food_actualizado_v4.docx (funcionalidades agregadas y HU020–HU031)</t>
  </si>
  <si>
    <t>Estructurado en tabla tipo_administrador y validado por rol (Dueño, Cocina, Cliente, Universidad) según HU024.</t>
  </si>
  <si>
    <t>Permisos diferenciados por rol</t>
  </si>
  <si>
    <t>El tiempo de carga no debe superar los 3 segundos.</t>
  </si>
  <si>
    <t>AdminAuthorizationService valida que el usuario autenticado pertenezca a la cafetería y tenga el rol requerido (HU024, HU025, HU026).</t>
  </si>
  <si>
    <t>Verificar el cumplimiento del criterio de aceptación: El tiempo de carga no debe superar los 3 segundos.</t>
  </si>
  <si>
    <t>Medición de tiempo de respuesta (cronómetro / DevTools Network)</t>
  </si>
  <si>
    <t>Datos</t>
  </si>
  <si>
    <t>No muestra datos sensibles en pantalla ni en respuestas de la API</t>
  </si>
  <si>
    <t>LEYENDA DE COLORES</t>
  </si>
  <si>
    <t>DTOs de respuesta excluyen explícitamente password_hash y datos sensibles (HU012, HU021, HU024).</t>
  </si>
  <si>
    <t>No muestra contraseñas en texto plano en ninguna vista</t>
  </si>
  <si>
    <t>(Funcionalidad agregada) El buscador de cafeterías debe filtrar por nombre.</t>
  </si>
  <si>
    <t>Escribir parte del nombre de una cafetería en el campo de búsqueda de la lista.</t>
  </si>
  <si>
    <t>Texto parcial de un nombre existente (ej. 'caf')</t>
  </si>
  <si>
    <t>Campos tipo password con toggle de visibilidad en frontend y nunca devueltos por la API.</t>
  </si>
  <si>
    <t>La lista muestra solo las cafeterías cuyo nombre coincide.</t>
  </si>
  <si>
    <t>Las contraseñas se almacenan hasheadas en la base de datos</t>
  </si>
  <si>
    <t>Pendiente de ejecutar</t>
  </si>
  <si>
    <t>Cifradas con algoritmo BCrypt (costo 10) en PostgreSQL, nunca almacenadas en texto plano.</t>
  </si>
  <si>
    <t>Validación</t>
  </si>
  <si>
    <t>Campos obligatorios validados en formularios</t>
  </si>
  <si>
    <t>Validaciones de campos requeridos implementadas en React y verificadas en backend con Bean Validation.</t>
  </si>
  <si>
    <t>Evita el ingreso de datos incorrectos o mal formateados</t>
  </si>
  <si>
    <t>OK — Prueba superada / criterio cumplido</t>
  </si>
  <si>
    <t>Expresiones regulares y validadores de formato para correo, teléfono celular y montos numéricos.</t>
  </si>
  <si>
    <t>(Funcionalidad agregada) El buscador debe filtrar por ubicación y por estado.</t>
  </si>
  <si>
    <t>Errores</t>
  </si>
  <si>
    <t>Buscar por bloque/ubicación y por estado (Abierto, Cerrado, Alta demanda).</t>
  </si>
  <si>
    <t>Los mensajes de error no muestran información técnica sensible</t>
  </si>
  <si>
    <t>Ubicación existente y estado 'Abierto'</t>
  </si>
  <si>
    <t>Se listan solo las cafeterías que coinciden con la ubicación o el estado ingresado.</t>
  </si>
  <si>
    <t>Manejo centralizado de excepciones con GlobalExceptionHandler; respuestas 400, 403 y 409 sin stacktrace.</t>
  </si>
  <si>
    <t>Mensajes de error claros y seguros para el usuario</t>
  </si>
  <si>
    <t>Mensajes descriptivos y orientativos validados en HU009, HU021, HU022 y HU025.</t>
  </si>
  <si>
    <t>Sistema</t>
  </si>
  <si>
    <t>Existe opción de logout / cierre de sesión</t>
  </si>
  <si>
    <t>(Funcionalidad agregada) Debe mostrar un mensaje cuando la búsqueda no tenga resultados.</t>
  </si>
  <si>
    <t>ERROR — Prueba fallida / criterio no cumplido</t>
  </si>
  <si>
    <t>Buscar un texto que no coincida con ninguna cafetería.</t>
  </si>
  <si>
    <t>Texto inexistente (ej. 'zzzz')</t>
  </si>
  <si>
    <t>Aparece un mensaje de 'sin resultados' y no se muestran tarjetas.</t>
  </si>
  <si>
    <t>Endpoint POST /api/admin/logout implementado en HU023 que limpia cookies y revoca tokens.</t>
  </si>
  <si>
    <t>HU002</t>
  </si>
  <si>
    <t>Card Restaurante</t>
  </si>
  <si>
    <t>No permite ejecutar acciones sin los permisos adecuados</t>
  </si>
  <si>
    <t>La card debe mostrar nombre del establecimiento.</t>
  </si>
  <si>
    <t>Verificar el cumplimiento del criterio de aceptación: La card debe mostrar nombre del establecimiento.</t>
  </si>
  <si>
    <t>Respuestas HTTP 403 Forbidden implementadas y validadas en HU015, HU024 y HU026.</t>
  </si>
  <si>
    <t>Valeria Gómez</t>
  </si>
  <si>
    <t>El JWT se renueva con refresh token en cookie HttpOnly y el token se rota</t>
  </si>
  <si>
    <t>PENDIENTE — Aún no se ha ejecutado la prueba (celda a completar)</t>
  </si>
  <si>
    <t>Ruta POST /api/admin/refresh emite nuevo par de tokens y revoca el anterior con rotación estricta (HU023).</t>
  </si>
  <si>
    <t>El refresh token se guarda como hash SHA-256 y se revoca al cerrar sesión</t>
  </si>
  <si>
    <t>Debe mostrar imagen representativa del restaurante o cafetería.</t>
  </si>
  <si>
    <t>Verificar el cumplimiento del criterio de aceptación: Debe mostrar imagen representativa del restaurante o cafetería.</t>
  </si>
  <si>
    <t>La tabla refresh_tokens almacena únicamente resúmenes criptográficos SHA-256 revocables.</t>
  </si>
  <si>
    <t>Una cuenta de registro pendiente no puede iniciar sesión hasta ser aprobada</t>
  </si>
  <si>
    <t>Validación de estado 'Activo' en login; cuentas pendientes o inactivas son rechazadas (HU030, HU031).</t>
  </si>
  <si>
    <t>Las rutas /admin/* redirigen a /admin sin sesión o sin permisos</t>
  </si>
  <si>
    <t>Debe mostrar ubicación o bloque asociado.</t>
  </si>
  <si>
    <t>Verificar el cumplimiento del criterio de aceptación: Debe mostrar ubicación o bloque asociado.</t>
  </si>
  <si>
    <t>Protección de rutas en React Router mediante PrivateRoute redirigiendo a /admin sin token.</t>
  </si>
  <si>
    <t>Solo el dueño puede registrar y retirar administradores de cocina</t>
  </si>
  <si>
    <t>Endpoints CRUD /administradores-cocina restringidos exclusivamente al rol Dueño de la sede (HU025).</t>
  </si>
  <si>
    <t>Solo la persona encargada de la universidad aprueba o rechaza solicitudes de cafeterías</t>
  </si>
  <si>
    <t>Debe mostrar el estado del establecimiento (Abierto, Cerrado, Alta demanda, etc.).</t>
  </si>
  <si>
    <t>Módulo de aprobación de cafeterías restringido al rol institucional UPB (HU031).</t>
  </si>
  <si>
    <t>Verificar el cumplimiento del criterio de aceptación: Debe mostrar el estado del establecimiento (Abierto, Cerrado, Alta demanda, etc.).</t>
  </si>
  <si>
    <t>Aislamiento</t>
  </si>
  <si>
    <t>Un administrador no puede crear, editar ni eliminar productos de otra cafetería (403)</t>
  </si>
  <si>
    <t>Validación estricta de pertenencia en base de datos que bloquea con 403 Forbidden (HU026).</t>
  </si>
  <si>
    <t>Solo el administrador de cocina de la cafetería puede cambiar el estado de sus pedidos</t>
  </si>
  <si>
    <t>Validado en endpoint PATCH /api/admin/pedidos/{id}/estado asegurando coincidencia de cafetería (HU015).</t>
  </si>
  <si>
    <t>Debe mostrar el tiempo estimado de los pedidos en general.</t>
  </si>
  <si>
    <t>Las contraseñas de los administradores de cocina se guardan con BCrypt</t>
  </si>
  <si>
    <t>Verificar el cumplimiento del criterio de aceptación: Debe mostrar el tiempo estimado de los pedidos en general.</t>
  </si>
  <si>
    <t>Hasheadas con BCrypt al momento del registro por parte del dueño (HU025).</t>
  </si>
  <si>
    <t>El código de seguimiento es un UUID único y no predecible</t>
  </si>
  <si>
    <t>Generado criptográficamente en fn_pedido_crear en base de datos como UUID v4 (HU020).</t>
  </si>
  <si>
    <t>La consulta de pedidos solo devuelve el pedido que coincide con el código o los datos ingresados</t>
  </si>
  <si>
    <t>La card debe tener diseño visual alineado con la identidad gráfica de la aplicación.</t>
  </si>
  <si>
    <t>Verificar el cumplimiento del criterio de aceptación: La card debe tener diseño visual alineado con la identidad gráfica de la aplicación.</t>
  </si>
  <si>
    <t>Consulta parametrizada en backend evitando inyecciones y fugas de otros pedidos (HU020, HU021).</t>
  </si>
  <si>
    <t>localStorage (upbfood.lastOrder) no guarda datos sensibles</t>
  </si>
  <si>
    <t>Solo persiste el UUID público del pedido reciente para facilitar la consulta del cliente.</t>
  </si>
  <si>
    <t>El backend rechaza pagos con monto distinto al total o con pedido en estado no permitido</t>
  </si>
  <si>
    <t>Debe permitir interacción táctil o clic para acceder al menú del establecimiento.</t>
  </si>
  <si>
    <t>fn_pago_registrar compara monto exacto al centavo y estado previo en 'En pago' (HU022).</t>
  </si>
  <si>
    <t>Verificar el cumplimiento del criterio de aceptación: Debe permitir interacción táctil o clic para acceder al menú del establecimiento.</t>
  </si>
  <si>
    <t>El backend rechaza transiciones de estado no permitidas del pedido</t>
  </si>
  <si>
    <t>Máquina de estados en PedidoService impide retrocesos o saltos ilógicos de estado (HU015).</t>
  </si>
  <si>
    <t>El backend rechaza pedidos a cafeterías cerradas o con productos no disponibles</t>
  </si>
  <si>
    <t>HU003</t>
  </si>
  <si>
    <t>Barra de navegación</t>
  </si>
  <si>
    <t>fn_pedido_crear valida disponibilidad real y horario de apertura antes de persistir (HU009).</t>
  </si>
  <si>
    <t>Contraseña de mínimo 8 caracteres y correo duplicado rechazado con 409</t>
  </si>
  <si>
    <t>Debe mostrar una barra de navegación fija en la parte inferior de la pantalla.</t>
  </si>
  <si>
    <t>Verificar el cumplimiento del criterio de aceptación: Debe mostrar una barra de navegación fija en la parte inferior de la pantalla.</t>
  </si>
  <si>
    <t>Validación regex de complejidad y restricción de unicidad con respuesta 409 Conflict (HU025).</t>
  </si>
  <si>
    <t>Las pruebas automáticas de autorización pasan (AdminAuthorizationServiceTest, ProductControllerTest)</t>
  </si>
  <si>
    <t>Suites de pruebas JUnit y MockMvc verificadas con ejecución exitosa en entorno de integración.</t>
  </si>
  <si>
    <t>Debe incluir las opciones: Servicios, Pedido e Historial.</t>
  </si>
  <si>
    <t>Verificar el cumplimiento del criterio de aceptación: Debe incluir las opciones: Servicios, Pedido e Historial.</t>
  </si>
  <si>
    <t>La opción seleccionada debe resaltarse visualmente.</t>
  </si>
  <si>
    <t>Verificar el cumplimiento del criterio de aceptación: La opción seleccionada debe resaltarse visualmente.</t>
  </si>
  <si>
    <t>Cada opción debe incluir ícono y texto descriptivo.</t>
  </si>
  <si>
    <t>Verificar el cumplimiento del criterio de aceptación: Cada opción debe incluir ícono y texto descriptivo.</t>
  </si>
  <si>
    <t>Debe permitir la navegación entre pantallas al seleccionar cada opción.</t>
  </si>
  <si>
    <t>Verificar el cumplimiento del criterio de aceptación: Debe permitir la navegación entre pantallas al seleccionar cada opción.</t>
  </si>
  <si>
    <t>La barra debe ser responsive en la página web.</t>
  </si>
  <si>
    <t>Verificar el cumplimiento del criterio de aceptación: La barra debe ser responsive en la página web.</t>
  </si>
  <si>
    <t>Debe mantener consistencia gráfica con el diseño general de la página web.</t>
  </si>
  <si>
    <t>Verificar el cumplimiento del criterio de aceptación: Debe mantener consistencia gráfica con el diseño general de la página web.</t>
  </si>
  <si>
    <t>HU004</t>
  </si>
  <si>
    <t>Lista de productos</t>
  </si>
  <si>
    <t>(Funcionalidad agregada) Las rutas deben estar separadas por tipo de usuario (cliente, administrador y cocina).</t>
  </si>
  <si>
    <t>Navegar a /, /restaurante/:id, /pedido, /cliente, /pago, /seguimiento, /admin/dashboard y /admin/cocina.</t>
  </si>
  <si>
    <t>Rutas de cliente, de administración y de cocina</t>
  </si>
  <si>
    <t>Cada ruta carga la vista de su tipo de usuario; las administrativas exigen sesión.</t>
  </si>
  <si>
    <t>(Funcionalidad agregada) La barra de navegación debe mostrar opciones de cliente cuando no hay sesión.</t>
  </si>
  <si>
    <t>Abrir la aplicación sin iniciar sesión y revisar la barra.</t>
  </si>
  <si>
    <t>Navegador sin sesión activa</t>
  </si>
  <si>
    <t>Se muestran solo las opciones de cliente (Servicios, Pedido, Historial).</t>
  </si>
  <si>
    <t>(Funcionalidad agregada) La barra debe mostrar opciones de administración cuando hay sesión.</t>
  </si>
  <si>
    <t>Iniciar sesión como administrador y revisar la barra.</t>
  </si>
  <si>
    <t>Credenciales de administrador válidas</t>
  </si>
  <si>
    <t>La barra cambia a las opciones de administración (Panel administrativo).</t>
  </si>
  <si>
    <t>(Funcionalidad agregada) El acceso a Cocina debe mostrarse solo a administradores con rol de cocina.</t>
  </si>
  <si>
    <t>Iniciar sesión con un administrador de cocina y con un dueño y comparar la barra.</t>
  </si>
  <si>
    <t>Una cuenta con rol cocina y una con rol dueño</t>
  </si>
  <si>
    <t>La opción Cocina aparece solo para el rol de cocina.</t>
  </si>
  <si>
    <t>(Funcionalidad agregada) Debe redirigir a /admin a quien entre a una ruta administrativa sin sesión o sin permisos.</t>
  </si>
  <si>
    <t>Escribir /admin/dashboard y /admin/cocina en la URL sin sesión y con un rol sin permiso.</t>
  </si>
  <si>
    <t>URL directa a rutas /admin/*</t>
  </si>
  <si>
    <t>El sistema redirige a /admin y no muestra la vista protegida.</t>
  </si>
  <si>
    <t>Sprint 2</t>
  </si>
  <si>
    <t>Debe mostrar un listado de productos en formato scroll vertical.</t>
  </si>
  <si>
    <t>Verificar el cumplimiento del criterio de aceptación: Debe mostrar un listado de productos en formato scroll vertical.</t>
  </si>
  <si>
    <t>HU005</t>
  </si>
  <si>
    <t>Card producto</t>
  </si>
  <si>
    <t>Debe cargar nombre, imagen, descripción corta y precio de cada producto.</t>
  </si>
  <si>
    <t>Verificar el cumplimiento del criterio de aceptación: Debe cargar nombre, imagen, descripción corta y precio de cada producto.</t>
  </si>
  <si>
    <t>Producto con precio de prueba (ej. 8500)</t>
  </si>
  <si>
    <t>Debe diferenciar visualmente productos disponibles y agotados.</t>
  </si>
  <si>
    <t>Verificar el cumplimiento del criterio de aceptación: Debe diferenciar visualmente productos disponibles y agotados.</t>
  </si>
  <si>
    <t>Debe permitir visualizar múltiples productos sin recargar la pantalla.</t>
  </si>
  <si>
    <t>Verificar el cumplimiento del criterio de aceptación: Debe permitir visualizar múltiples productos sin recargar la pantalla.</t>
  </si>
  <si>
    <t>La carga inicial no debe superar 3 segundos.</t>
  </si>
  <si>
    <t>Verificar el cumplimiento del criterio de aceptación: La carga inicial no debe superar 3 segundos.</t>
  </si>
  <si>
    <t>(Funcionalidad agregada) El buscador de productos debe filtrar el menú de la cafetería.</t>
  </si>
  <si>
    <t>Escribir parte del nombre de un producto en el buscador de ListaProductos.</t>
  </si>
  <si>
    <t>Texto parcial de un producto existente</t>
  </si>
  <si>
    <t>Solo se muestran los productos de la cafetería que coinciden con el texto.</t>
  </si>
  <si>
    <t>HU006</t>
  </si>
  <si>
    <t>Botón carrito</t>
  </si>
  <si>
    <t>(Funcionalidad agregada) Debe mostrar un mensaje cuando no haya resultados de productos.</t>
  </si>
  <si>
    <t>Buscar un producto que no existe en el menú.</t>
  </si>
  <si>
    <t>Aparece un mensaje de 'sin resultados' y no se muestran productos.</t>
  </si>
  <si>
    <t>Ismael López</t>
  </si>
  <si>
    <t>HU007</t>
  </si>
  <si>
    <t>Lista de pedidos</t>
  </si>
  <si>
    <t>Debe mantener consistencia gráfica con el diseño general de la aplicación.</t>
  </si>
  <si>
    <t>Verificar el cumplimiento del criterio de aceptación: Debe mantener consistencia gráfica con el diseño general de la aplicación.</t>
  </si>
  <si>
    <t>(HU actualizada) La card debe mostrar imagen, nombre y descripción del producto.</t>
  </si>
  <si>
    <t>Abrir el menú de una cafetería y revisar una CardProducto.</t>
  </si>
  <si>
    <t>Producto con imagen y descripción cargadas</t>
  </si>
  <si>
    <t>La card muestra la imagen, el nombre y la descripción del producto.</t>
  </si>
  <si>
    <t>(HU actualizada) El precio debe mostrarse en formato de pesos colombianos.</t>
  </si>
  <si>
    <t>Revisar el precio mostrado en la card.</t>
  </si>
  <si>
    <t>El precio se muestra en pesos colombianos (ej. $8.500).</t>
  </si>
  <si>
    <t>(Funcionalidad agregada) La card debe mostrar un selector de adiciones con su precio.</t>
  </si>
  <si>
    <t>Abrir un producto que tenga adiciones (ej. queso extra) y revisar el selector.</t>
  </si>
  <si>
    <t>Producto con adiciones configuradas</t>
  </si>
  <si>
    <t>Se listan las adiciones disponibles, cada una con su precio.</t>
  </si>
  <si>
    <t>Pendiente de ejecutar (funcionalidad aún no implementada según la HU v4)</t>
  </si>
  <si>
    <t>(Funcionalidad agregada) La adición elegida debe quedar asociada al producto agregado al carrito.</t>
  </si>
  <si>
    <t>Seleccionar una adición, agregar el producto y abrir el carrito/pedido.</t>
  </si>
  <si>
    <t>Producto con una adición seleccionada</t>
  </si>
  <si>
    <t>El producto aparece en el pedido con la adición elegida y su precio incluido.</t>
  </si>
  <si>
    <t>HU008</t>
  </si>
  <si>
    <t>Card productos pedidos</t>
  </si>
  <si>
    <t>Debe actualizar automáticamente contador de productos en carrito.</t>
  </si>
  <si>
    <t>Verificar el cumplimiento del criterio de aceptación: Debe actualizar automáticamente contador de productos en carrito.</t>
  </si>
  <si>
    <t>Debe mostrar total acumulado en el botón inferior de carrito.</t>
  </si>
  <si>
    <t>Verificar el cumplimiento del criterio de aceptación: Debe mostrar total acumulado en el botón inferior de carrito.</t>
  </si>
  <si>
    <t>El botón “Ver carrito” debe permanecer fijo en la parte inferior.</t>
  </si>
  <si>
    <t>Verificar el cumplimiento del criterio de aceptación: El botón “Ver carrito” debe permanecer fijo en la parte inferior.</t>
  </si>
  <si>
    <t>Debe permitir navegar al resumen del pedido al hacer clic.</t>
  </si>
  <si>
    <t>Verificar el cumplimiento del criterio de aceptación: Debe permitir navegar al resumen del pedido al hacer clic.</t>
  </si>
  <si>
    <t>(Funcionalidad agregada) El carrito debe bloquear la mezcla de productos de distintas cafeterías.</t>
  </si>
  <si>
    <t>Agregar un producto de la cafetería A y luego intentar agregar uno de la cafetería B.</t>
  </si>
  <si>
    <t>Productos de dos cafeterías distintas</t>
  </si>
  <si>
    <t>El segundo producto no se agrega y el carrito conserva solo los de la cafetería A.</t>
  </si>
  <si>
    <t>(Funcionalidad agregada) Debe mostrar un mensaje de error cuando se intente mezclar cafeterías.</t>
  </si>
  <si>
    <t>Repetir el intento de agregar un producto de otra cafetería.</t>
  </si>
  <si>
    <t>Se muestra un mensaje claro que explica que el pedido es de una sola cafetería.</t>
  </si>
  <si>
    <t>HU009</t>
  </si>
  <si>
    <t>Botón confirmar pedido</t>
  </si>
  <si>
    <t>Debe mostrar listado de todos los productos agregados al carrito.</t>
  </si>
  <si>
    <t>Verificar el cumplimiento del criterio de aceptación: Debe mostrar listado de todos los productos agregados al carrito.</t>
  </si>
  <si>
    <t>Debe permitir visualizar múltiples productos dentro del pedido.</t>
  </si>
  <si>
    <t>Verificar el cumplimiento del criterio de aceptación: Debe permitir visualizar múltiples productos dentro del pedido.</t>
  </si>
  <si>
    <t>(Funcionalidad agregada) El pedido debe mostrar un indicador de progreso en tres pasos (Pedido, Datos y Pago).</t>
  </si>
  <si>
    <t>Recorrer /pedido, /cliente y /pago y observar el indicador.</t>
  </si>
  <si>
    <t>Carrito con al menos un producto</t>
  </si>
  <si>
    <t>El indicador muestra los tres pasos y resalta el paso actual en cada pantalla.</t>
  </si>
  <si>
    <t>Andrés Martínez</t>
  </si>
  <si>
    <t>(Funcionalidad agregada) El resumen debe permitir editar cantidades, eliminar productos y agregar observaciones por producto.</t>
  </si>
  <si>
    <t>En el paso Pedido, cambiar cantidad, eliminar un producto y escribir una observación.</t>
  </si>
  <si>
    <t>Pedido con 2 o más productos</t>
  </si>
  <si>
    <t>Cantidades, eliminación y observaciones se aplican y los totales se actualizan.</t>
  </si>
  <si>
    <t>(Funcionalidad agregada) Debe incluir el botón para seguir explorando cafeterías y las notas informativas del pedido.</t>
  </si>
  <si>
    <t>Revisar el paso Pedido y pulsar el botón de seguir explorando.</t>
  </si>
  <si>
    <t>Pedido en el paso 1</t>
  </si>
  <si>
    <t>Se muestran las notas informativas y el botón lleva de nuevo a la exploración de cafeterías.</t>
  </si>
  <si>
    <t>Debe mostrar imagen del producto seleccionado.</t>
  </si>
  <si>
    <t>Verificar el cumplimiento del criterio de aceptación: Debe mostrar imagen del producto seleccionado.</t>
  </si>
  <si>
    <t>Debe mostrar nombre del producto.</t>
  </si>
  <si>
    <t>Verificar el cumplimiento del criterio de aceptación: Debe mostrar nombre del producto.</t>
  </si>
  <si>
    <t>Debe mostrar observaciones o personalizaciones del producto si existen.</t>
  </si>
  <si>
    <t>HU010</t>
  </si>
  <si>
    <t>Verificar el cumplimiento del criterio de aceptación: Debe mostrar observaciones o personalizaciones del producto si existen.</t>
  </si>
  <si>
    <t>Formulario identificación</t>
  </si>
  <si>
    <t>Debe visualizar precio unitario del producto.</t>
  </si>
  <si>
    <t>Verificar el cumplimiento del criterio de aceptación: Debe visualizar precio unitario del producto.</t>
  </si>
  <si>
    <t>Estado (✓ / X / PENDIENTE)</t>
  </si>
  <si>
    <t xml:space="preserve">Observaciones basadas en el Plan </t>
  </si>
  <si>
    <t>Claridad</t>
  </si>
  <si>
    <t>Debe permitir aumentar cantidad mediante botón (+).</t>
  </si>
  <si>
    <t>Verificar el cumplimiento del criterio de aceptación: Debe permitir aumentar cantidad mediante botón (+).</t>
  </si>
  <si>
    <t>La interfaz y distribución del menú son fáciles de entender.</t>
  </si>
  <si>
    <t>COMPLETADO</t>
  </si>
  <si>
    <t>Se evaluará en la lista de restaurantes y catálogo de productos (HU001, HU004).</t>
  </si>
  <si>
    <t>Los textos e información son claros (precios, descripciones de productos, categorías).</t>
  </si>
  <si>
    <t>Aplica a las cards de productos, panel de edición y seguimiento de pedido (HU005, HU018, HU020).</t>
  </si>
  <si>
    <t>Debe permitir disminuir cantidad mediante botón (-).</t>
  </si>
  <si>
    <t>Navegación</t>
  </si>
  <si>
    <t>Verificar el cumplimiento del criterio de aceptación: Debe permitir disminuir cantidad mediante botón (-).</t>
  </si>
  <si>
    <t>Es fácil moverse entre pantallas y saber en qué sección está el usuario.</t>
  </si>
  <si>
    <t>Evaluado a través de la barra de navegación fija e indicadores visuales (HU003).</t>
  </si>
  <si>
    <t>Debe permitir eliminar producto del pedido mediante icono de eliminación.</t>
  </si>
  <si>
    <t>Verificar el cumplimiento del criterio de aceptación: Debe permitir eliminar producto del pedido mediante icono de eliminación.</t>
  </si>
  <si>
    <t>Transición fluida hacia el flujo de compra y pedidos (Carrito → Identificación → Pago).</t>
  </si>
  <si>
    <t>Corresponde a los botones de acción del flujo del cliente y al pedido en tres pasos (HU006, HU007, HU009, HU011, HU022).</t>
  </si>
  <si>
    <t>Usabilidad</t>
  </si>
  <si>
    <t>Acciones principales fáciles de realizar (agregar al carrito, ajustar cantidades, confirmar).</t>
  </si>
  <si>
    <t>Abarca los controles de cantidad y adición de ítems, y quitar/añadir ingredientes (HU005, HU006, HU008).</t>
  </si>
  <si>
    <t>Los cambios deben reflejarse inmediatamente en subtotal y total.</t>
  </si>
  <si>
    <t>Verificar el cumplimiento del criterio de aceptación: Los cambios deben reflejarse inmediatamente en subtotal y total.</t>
  </si>
  <si>
    <t>El sistema responde rápido (tiempos de carga menores a 2-3 segundos).</t>
  </si>
  <si>
    <t>Verificación transversal de rendimiento según criterios de aceptación (HU001, HU009, HU011, HU013, HU020, HU022).</t>
  </si>
  <si>
    <t>Formularios</t>
  </si>
  <si>
    <t>Campos bien etiquetados en formularios de identificación, login y edición de productos.</t>
  </si>
  <si>
    <t>Aplica a los módulos de autenticación y captura de datos (HU010, HU012, HU018, HU019, HU021, HU025, HU029, HU030).</t>
  </si>
  <si>
    <t>HU011</t>
  </si>
  <si>
    <t>Mensajes de validación claros en campos obligatorios o vacíos.</t>
  </si>
  <si>
    <t>Botón continuar pago</t>
  </si>
  <si>
    <t>Verificación de retroalimentación inmediata ante entradas incorrectas (HU010, HU011, HU021, HU025, HU030).</t>
  </si>
  <si>
    <t>(Funcionalidad agregada) Cada producto del paso 'Revisa tu pedido' debe mostrar las adiciones elegidas y permitir añadir otro ingrediente extra.</t>
  </si>
  <si>
    <t>Diseño</t>
  </si>
  <si>
    <t>Abrir 'Revisa tu pedido' con un producto con adiciones y añadir otro extra.</t>
  </si>
  <si>
    <t>Diseño limpio, ordenado y estructurado mediante tarjetas/cards para ítems y pedidos.</t>
  </si>
  <si>
    <t>Producto con adiciones (HU005/HU018)</t>
  </si>
  <si>
    <t>Abarca la disposición visual de elementos (HU002, HU014, HU015, HU017, HU027, HU031).</t>
  </si>
  <si>
    <t>Se ven las adiciones elegidas y es posible añadir otro extra con su precio.</t>
  </si>
  <si>
    <t>Uso consistente de colores en estados (ej. Abierto/Cerrado, Disponible/Agotado, Botones de acción).</t>
  </si>
  <si>
    <t>Evaluado en el panel de administración, estado de cocina y seguimiento (HU014, HU016, HU020, HU029).</t>
  </si>
  <si>
    <t>Experiencia</t>
  </si>
  <si>
    <t>Adaptabilidad y diseño responsive en la página web (móvil, tablet, escritorio).</t>
  </si>
  <si>
    <t>Requisito de maquetación verificado en múltiples historias (HU001, HU003, HU010, HU012, HU020, HU030).</t>
  </si>
  <si>
    <t>(Funcionalidad agregada) Debe permitir quitar un ingrediente del producto.</t>
  </si>
  <si>
    <t>El sistema es agradable de usar y satisface la necesidad de realizar un pedido de forma simple.</t>
  </si>
  <si>
    <t>En 'Revisa tu pedido', quitar un ingrediente de un producto.</t>
  </si>
  <si>
    <t>Validación integral al completar el ciclo completo con el usuario.</t>
  </si>
  <si>
    <t>Producto con ingredientes removibles</t>
  </si>
  <si>
    <t>El ingrediente queda marcado como quitado en el producto del pedido.</t>
  </si>
  <si>
    <t>Los mensajes de sin resultados y de historial vacío son claros en buscadores e historial.</t>
  </si>
  <si>
    <t>Aplica a los buscadores de cafeterías y productos y al historial de pedidos (HU001, HU004, HU027).</t>
  </si>
  <si>
    <t>Pendiente de ejecutar (almacenamiento de ingredientes quitados por definir)</t>
  </si>
  <si>
    <t>La barra de navegación muestra solo las opciones que corresponden al tipo de usuario (cliente, dueño o cocina).</t>
  </si>
  <si>
    <t>Evaluar la barra dinámica y la redirección a /admin (HU003, HU024).</t>
  </si>
  <si>
    <t>El estudiante entiende cómo seguir su pedido (código, barra de progreso y estados).</t>
  </si>
  <si>
    <t>(Funcionalidad agregada) El detalle del pedido de cocina debe mostrar los ingredientes añadidos y quitados.</t>
  </si>
  <si>
    <t>Aplica al seguimiento y a la consulta de pedido (HU020, HU021).</t>
  </si>
  <si>
    <t>Confirmar un pedido con ingredientes añadidos y quitados y abrirlo en Cocina.</t>
  </si>
  <si>
    <t>Pedido con un ingrediente añadido y uno quitado</t>
  </si>
  <si>
    <t>El tablero de cocina se actualiza solo (cada 10 s) sin perder el contexto del usuario.</t>
  </si>
  <si>
    <t>La tarjeta de cocina muestra claramente ambos tipos de cambios.</t>
  </si>
  <si>
    <t>Verificar tablero de tres columnas y cambio de estado desde la tarjeta (HU014, HU015).</t>
  </si>
  <si>
    <t>El cambio de cafetería y de estado de la cafetería es fácil de usar para el administrador.</t>
  </si>
  <si>
    <t>Aplica al selector de cafetería y a Configurar cafetería (HU016, HU029).</t>
  </si>
  <si>
    <t>Las acciones de retirar un producto o el acceso de un administrador de cocina son claras y evitan errores.</t>
  </si>
  <si>
    <t>Aplica a Eliminar producto y retirar administrador de cocina (HU017, HU025).</t>
  </si>
  <si>
    <t>Sprint 3</t>
  </si>
  <si>
    <t>La selección de hora de recogida (cada 15 min) es fácil de entender y de usar.</t>
  </si>
  <si>
    <t>Debe existir botón fijo “Confirmar pedido” en la parte inferior.</t>
  </si>
  <si>
    <t>Aplica al formulario de identificación (HU010).</t>
  </si>
  <si>
    <t>Verificar el cumplimiento del criterio de aceptación: Debe existir botón fijo “Confirmar pedido” en la parte inferior.</t>
  </si>
  <si>
    <t>Clic sobre el botón correspondiente</t>
  </si>
  <si>
    <t>El registro de administrador y cafetería explica que la solicitud queda pendiente de aprobación.</t>
  </si>
  <si>
    <t>Aplica al registro y a la aprobación de solicitudes (HU030, HU031).</t>
  </si>
  <si>
    <t>El dashboard administrativo no tiene elementos que no funcionen (acciones rápidas, cifras fijas).</t>
  </si>
  <si>
    <t>Aplica a las métricas y al panel administrativo (HU028).</t>
  </si>
  <si>
    <t>El flujo de pedido en tres pasos (Pedido, Datos y Pago) muestra el progreso de forma entendible.</t>
  </si>
  <si>
    <t>Aplica al indicador de pasos y al portal de pago (HU007, HU022).</t>
  </si>
  <si>
    <t>Solo debe habilitarse si existe al menos un producto en el pedido.</t>
  </si>
  <si>
    <t>Los mensajes de error de carrito de una sola cafetería y de cafetería cerrada se entienden.</t>
  </si>
  <si>
    <t>Verificar el cumplimiento del criterio de aceptación: Solo debe habilitarse si existe al menos un producto en el pedido.</t>
  </si>
  <si>
    <t>Aplica a las restricciones del carrito y del pedido (HU006, HU009).</t>
  </si>
  <si>
    <t>Debe almacenar el pedido en el sistema al confirmar.</t>
  </si>
  <si>
    <t>HU012</t>
  </si>
  <si>
    <t>Verificar el cumplimiento del criterio de aceptación: Debe almacenar el pedido en el sistema al confirmar.</t>
  </si>
  <si>
    <t>Formulario login</t>
  </si>
  <si>
    <t>Debe redirigir a pantalla de identificación.</t>
  </si>
  <si>
    <t>Verificar el cumplimiento del criterio de aceptación: Debe redirigir a pantalla de identificación.</t>
  </si>
  <si>
    <t>La confirmación no debe tardar más de 2 segundos.</t>
  </si>
  <si>
    <t>Verificar el cumplimiento del criterio de aceptación: La confirmación no debe tardar más de 2 segundos.</t>
  </si>
  <si>
    <t>(Funcionalidad agregada) El backend debe rechazar pedidos a cafeterías en estado Cerrado.</t>
  </si>
  <si>
    <t>Intentar confirmar (POST /api/pedidos) un pedido a una cafetería con estado Cerrado.</t>
  </si>
  <si>
    <t>Cafetería en estado 'Cerrado' y un pedido válido</t>
  </si>
  <si>
    <t>El pedido no se registra y el backend responde con un error.</t>
  </si>
  <si>
    <t>(Funcionalidad agregada) Debe validar que cada producto esté disponible en el restaurante seleccionado.</t>
  </si>
  <si>
    <t>Enviar un pedido con un producto que no pertenece o no está disponible en esa cafetería.</t>
  </si>
  <si>
    <t>Producto de otra cafetería o agotado</t>
  </si>
  <si>
    <t>El backend rechaza el pedido y no se crea el registro.</t>
  </si>
  <si>
    <t>(Funcionalidad agregada) Debe mostrar al cliente el mensaje de error devuelto por el backend.</t>
  </si>
  <si>
    <t>Provocar uno de los rechazos anteriores desde la interfaz.</t>
  </si>
  <si>
    <t>Pedido a cafetería cerrada</t>
  </si>
  <si>
    <t>La interfaz muestra al cliente el mensaje de error recibido del backend.</t>
  </si>
  <si>
    <t>HU013</t>
  </si>
  <si>
    <t>Botón ingreso</t>
  </si>
  <si>
    <t>Debe solicitar nombre completo del usuario.</t>
  </si>
  <si>
    <t>Verificar el cumplimiento del criterio de aceptación: Debe solicitar nombre completo del usuario.</t>
  </si>
  <si>
    <t>Matriz de Roles y Perfiles de la Aplicación (UPB Food)</t>
  </si>
  <si>
    <t>Debe solicitar número de teléfono celular.</t>
  </si>
  <si>
    <t>Verificar el cumplimiento del criterio de aceptación: Debe solicitar número de teléfono celular.</t>
  </si>
  <si>
    <t>Rol / Perfil de Usuario</t>
  </si>
  <si>
    <t>Debe solicitar correo electrónico.</t>
  </si>
  <si>
    <t>Verificar el cumplimiento del criterio de aceptación: Debe solicitar correo electrónico.</t>
  </si>
  <si>
    <t>Correos válidos e inválidos (con y sin dominio @upb.edu.co)</t>
  </si>
  <si>
    <t>Tipo de Usuario</t>
  </si>
  <si>
    <t>Todos los campos deben ser obligatorios.</t>
  </si>
  <si>
    <t>Verificar el cumplimiento del criterio de aceptación: Todos los campos deben ser obligatorios.</t>
  </si>
  <si>
    <t>Descripción / Propósito</t>
  </si>
  <si>
    <t>Permisos y Funcionalidades en la App</t>
  </si>
  <si>
    <t>Historias de Usuario (HU) Asociadas</t>
  </si>
  <si>
    <t>Debe mostrar mensajes de validación cuando existan campos vacíos o formatos inválidos.</t>
  </si>
  <si>
    <t>Verificar el cumplimiento del criterio de aceptación: Debe mostrar mensajes de validación cuando existan campos vacíos o formatos inválidos.</t>
  </si>
  <si>
    <t>Estudiante / Cliente</t>
  </si>
  <si>
    <t>Debe almacenar temporalmente la información para el proceso de pago.</t>
  </si>
  <si>
    <t>HU014</t>
  </si>
  <si>
    <t>Lista de pedidos (cocina)</t>
  </si>
  <si>
    <t>Verificar el cumplimiento del criterio de aceptación: Debe almacenar temporalmente la información para el proceso de pago.</t>
  </si>
  <si>
    <t>Usuario Final (Público / Autenticado)</t>
  </si>
  <si>
    <t>El formulario debe ser responsive en la página web.</t>
  </si>
  <si>
    <t>Verificar el cumplimiento del criterio de aceptación: El formulario debe ser responsive en la página web.</t>
  </si>
  <si>
    <t>Comunidad universitaria (estudiantes, docentes, administrativos) que consulta el menú y realiza pedidos anticipados para evitar filas.</t>
  </si>
  <si>
    <t>(Funcionalidad agregada) El formulario debe ofrecer opciones de hora de recogida en intervalos de 15 minutos.</t>
  </si>
  <si>
    <t>Abrir el selector de hora de recogida en FormularioCliente.</t>
  </si>
  <si>
    <t>Formulario del paso Datos</t>
  </si>
  <si>
    <t>Las opciones se generan cada 15 minutos.</t>
  </si>
  <si>
    <t>• Explorar lista de restaurantes y cafeterías.</t>
  </si>
  <si>
    <t>(Funcionalidad agregada) Las opciones de hora de recogida deben mostrarse ordenadas de menor a mayor.</t>
  </si>
  <si>
    <t>Revisar el orden de las opciones del selector.</t>
  </si>
  <si>
    <t>• HU001, HU002, HU003</t>
  </si>
  <si>
    <t>Selector de hora de recogida</t>
  </si>
  <si>
    <t>Las horas aparecen ordenadas de la menor a la mayor.</t>
  </si>
  <si>
    <t>(Funcionalidad agregada) La hora de recogida (opcional) debe enviarse y guardarse con el pedido.</t>
  </si>
  <si>
    <t>Confirmar un pedido con hora y otro sin hora; revisar el campo hora_recogida.</t>
  </si>
  <si>
    <t>Pedido con horaRecogida y pedido sin ella</t>
  </si>
  <si>
    <t>Con hora: se guarda en hora_recogida. Sin hora: el pedido se crea igualmente.</t>
  </si>
  <si>
    <t>• Consultar menú y detalles de productos.</t>
  </si>
  <si>
    <t>• HU004, HU005, HU006</t>
  </si>
  <si>
    <t>(Funcionalidad agregada) La hora de recogida debe mostrarse en la tarjeta de cocina y en el seguimiento del pedido.</t>
  </si>
  <si>
    <t>Abrir el pedido en Cocina y en la página de seguimiento.</t>
  </si>
  <si>
    <t>Pedido con hora de recogida</t>
  </si>
  <si>
    <t>La hora aparece en CardPedido y en el seguimiento.</t>
  </si>
  <si>
    <t>• Gestionar el carrito de compras (agregar/quitar ítems, poner observaciones).</t>
  </si>
  <si>
    <t>• HU007, HU008, HU009</t>
  </si>
  <si>
    <t>HU015</t>
  </si>
  <si>
    <t>Card de pedidos</t>
  </si>
  <si>
    <t>• Identificarse con cualquier correo valido (@gmail, @hotmail, @upb.edu.co, etc).</t>
  </si>
  <si>
    <t>• HU010, HU011</t>
  </si>
  <si>
    <t>Debe existir botón visible “Continuar al pago”.</t>
  </si>
  <si>
    <t>• Confirmar pedido y seleccionar método de pago.</t>
  </si>
  <si>
    <t>Verificar el cumplimiento del criterio de aceptación: Debe existir botón visible “Continuar al pago”.</t>
  </si>
  <si>
    <t>• HU022</t>
  </si>
  <si>
    <t>• Seguir el estado de su pedido con el código de seguimiento.</t>
  </si>
  <si>
    <t>Solo debe habilitarse cuando todos los campos obligatorios estén diligenciados correctamente.</t>
  </si>
  <si>
    <t>• HU020</t>
  </si>
  <si>
    <t>Verificar el cumplimiento del criterio de aceptación: Solo debe habilitarse cuando todos los campos obligatorios estén diligenciados correctamente.</t>
  </si>
  <si>
    <t>• Consultar su pedido con el número de pedido y correo o teléfono.</t>
  </si>
  <si>
    <t>Al hacer clic, debe validar la información ingresada.</t>
  </si>
  <si>
    <t>• HU021</t>
  </si>
  <si>
    <t>Verificar el cumplimiento del criterio de aceptación: Al hacer clic, debe validar la información ingresada.</t>
  </si>
  <si>
    <t>Si la validación es exitosa, debe redirigir al portal de pago.</t>
  </si>
  <si>
    <t>Verificar el cumplimiento del criterio de aceptación: Si la validación es exitosa, debe redirigir al portal de pago.</t>
  </si>
  <si>
    <t>• Visualizar el historial de sus pedidos anteriores.</t>
  </si>
  <si>
    <t>• HU027</t>
  </si>
  <si>
    <t>Personal de Cocina / Operativo</t>
  </si>
  <si>
    <t>Si existen errores, debe impedir el avance y mostrar mensajes de validación.</t>
  </si>
  <si>
    <t>HU016</t>
  </si>
  <si>
    <t>Verificar el cumplimiento del criterio de aceptación: Si existen errores, debe impedir el avance y mostrar mensajes de validación.</t>
  </si>
  <si>
    <t>Lista de productos (admin)</t>
  </si>
  <si>
    <t>La navegación a la siguiente pantalla no debe superar 2 segundos.</t>
  </si>
  <si>
    <t>Verificar el cumplimiento del criterio de aceptación: La navegación a la siguiente pantalla no debe superar 2 segundos.</t>
  </si>
  <si>
    <t>Usuario Interno (Restaurante)</t>
  </si>
  <si>
    <t>(HU actualizada) Al continuar al pago, el estado del pedido debe actualizarse a 'En pago'.</t>
  </si>
  <si>
    <t>Completar los datos válidos, pulsar 'Continuar al pago' y consultar el estado del pedido.</t>
  </si>
  <si>
    <t>Equipo de trabajo dentro de las cafeterías encargado de preparar los pedidos y gestionar el flujo de entrega.</t>
  </si>
  <si>
    <t>Datos de cliente válidos</t>
  </si>
  <si>
    <t>El pedido pasa al estado 'En pago' y se muestra la pantalla de pago.</t>
  </si>
  <si>
    <t>Debe solicitar Email o ID de empleado.</t>
  </si>
  <si>
    <t>Verificar el cumplimiento del criterio de aceptación: Debe solicitar Email o ID de empleado.</t>
  </si>
  <si>
    <t>• Acceder al panel operativo de cocina en tiempo real.</t>
  </si>
  <si>
    <t>• HU003, HU014, HU015</t>
  </si>
  <si>
    <t>Debe solicitar contraseña de acceso.</t>
  </si>
  <si>
    <t>Verificar el cumplimiento del criterio de aceptación: Debe solicitar contraseña de acceso.</t>
  </si>
  <si>
    <t>Usuario y contraseña de prueba</t>
  </si>
  <si>
    <t>• Visualizar la lista de pedidos pendientes y sus detalles (ítems, observaciones del cliente, hora).</t>
  </si>
  <si>
    <t>• HU014, HU015</t>
  </si>
  <si>
    <t>La contraseña debe ocultarse por defecto.</t>
  </si>
  <si>
    <t>Verificar el cumplimiento del criterio de aceptación: La contraseña debe ocultarse por defecto.</t>
  </si>
  <si>
    <t>• Cambiar el estado operativo de la orden (ej. Pendiente, En preparación, Listo para recoger).</t>
  </si>
  <si>
    <t>• HU015</t>
  </si>
  <si>
    <t>Debe incluir opción para visualizar/ocultar contraseña mediante icono.</t>
  </si>
  <si>
    <t>Verificar el cumplimiento del criterio de aceptación: Debe incluir opción para visualizar/ocultar contraseña mediante icono.</t>
  </si>
  <si>
    <t>• Mantener la sesión activa al recargar la página y cerrar sesión de forma segura.</t>
  </si>
  <si>
    <t>• HU023</t>
  </si>
  <si>
    <t>• Operar solo en la cafetería a la que está asignado, con permisos del rol de cocina.</t>
  </si>
  <si>
    <t>• HU024</t>
  </si>
  <si>
    <t>Administrador de Cafetería</t>
  </si>
  <si>
    <t>Debe validar credenciales contra usuarios registrados.</t>
  </si>
  <si>
    <t>Verificar el cumplimiento del criterio de aceptación: Debe validar credenciales contra usuarios registrados.</t>
  </si>
  <si>
    <t>Credenciales válidas e inválidas</t>
  </si>
  <si>
    <t xml:space="preserve">Matriz de Roles y Perfiles </t>
  </si>
  <si>
    <t>Usuario Administrativo</t>
  </si>
  <si>
    <t>Debe mostrar mensaje de error cuando las credenciales sean incorrectas.</t>
  </si>
  <si>
    <t>Verificar el cumplimiento del criterio de aceptación: Debe mostrar mensaje de error cuando las credenciales sean incorrectas.</t>
  </si>
  <si>
    <t>Nombre / Perfil</t>
  </si>
  <si>
    <t>Rol en el Equipo</t>
  </si>
  <si>
    <t>Enfoque de Pruebas asignadas</t>
  </si>
  <si>
    <t>Historias de Usuario (HU) a cargo según Checklist</t>
  </si>
  <si>
    <t>Encargado del establecimiento que gestiona el catálogo de productos, la disponibilidad y la operación del local.</t>
  </si>
  <si>
    <t>HU017</t>
  </si>
  <si>
    <t>El formulario debe ser responsive para la página web.</t>
  </si>
  <si>
    <t>Card de productos (admin)</t>
  </si>
  <si>
    <t>Verificar el cumplimiento del criterio de aceptación: El formulario debe ser responsive para la página web.</t>
  </si>
  <si>
    <t>Data Scientist &amp; QA Manager</t>
  </si>
  <si>
    <t>• Iniciar sesión segura con credenciales administrativas.</t>
  </si>
  <si>
    <t>(Adicional QA) La sesión del administrador se debe mantener de forma segura mediante token (JWT) tras el login.</t>
  </si>
  <si>
    <t>• HU012, HU013</t>
  </si>
  <si>
    <t>Verificar el cumplimiento del criterio de aceptación: (Adicional QA) La sesión del administrador se debe mantener de forma segura mediante token (JWT) tras el login.</t>
  </si>
  <si>
    <t>Login válido + inspección del token / persistencia de sesión</t>
  </si>
  <si>
    <t>Validaciones funcionales clave, paneles operativos (cocina y admin) y flujos de ingreso. Pruebas de control de acceso por rol y cafetería, aislamiento de productos, gestión de administradores de cocina y consulta de pedidos. Lidera el aseguramiento de calidad general.</t>
  </si>
  <si>
    <t>(Adicional QA) Las contraseñas de los usuarios deben almacenarse hasheadas en la base de datos, nunca en texto plano.</t>
  </si>
  <si>
    <t>Verificar el cumplimiento del criterio de aceptación: (Adicional QA) Las contraseñas de los usuarios deben almacenarse hasheadas en la base de datos, nunca en texto plano.</t>
  </si>
  <si>
    <t>Registro nuevo en BD + inspección directa de la tabla de usuarios</t>
  </si>
  <si>
    <t>• HU005: Card producto</t>
  </si>
  <si>
    <t>• Consultar y filtrar el inventario/catálogo de productos.</t>
  </si>
  <si>
    <t>• HU016, HU017</t>
  </si>
  <si>
    <t>Debe existir botón visible “Ingresar al Panel”.</t>
  </si>
  <si>
    <t>• HU013: Botón ingreso</t>
  </si>
  <si>
    <t>Verificar el cumplimiento del criterio de aceptación: Debe existir botón visible “Ingresar al Panel”.</t>
  </si>
  <si>
    <t>• HU014: Lista de pedidos (cocina)</t>
  </si>
  <si>
    <t>• Seleccionar la cafetería a administrar cuando tiene más de una asignación.</t>
  </si>
  <si>
    <t>• HU016</t>
  </si>
  <si>
    <t>Solo debe habilitarse cuando los campos obligatorios estén diligenciados.</t>
  </si>
  <si>
    <t>Verificar el cumplimiento del criterio de aceptación: Solo debe habilitarse cuando los campos obligatorios estén diligenciados.</t>
  </si>
  <si>
    <t>• HU016: Lista de productos (admin)</t>
  </si>
  <si>
    <t>• HU019: Botón añadir producto</t>
  </si>
  <si>
    <t>• Habilitar o inhabilitar productos en tiempo real (Disponible / Agotado).</t>
  </si>
  <si>
    <t>• HU018, HU019</t>
  </si>
  <si>
    <t>Al hacer clic, debe validar credenciales registradas.</t>
  </si>
  <si>
    <t>Verificar el cumplimiento del criterio de aceptación: Al hacer clic, debe validar credenciales registradas.</t>
  </si>
  <si>
    <t>• HU021: Consulta de pedido por número y correo o teléfono</t>
  </si>
  <si>
    <t>• Editar información de productos (precios, descripciones, ingredientes extra).</t>
  </si>
  <si>
    <t>• HU018</t>
  </si>
  <si>
    <t>• HU024: Control de acceso por rol y cafetería</t>
  </si>
  <si>
    <t>Si el login es exitoso, debe redirigir al Panel de cocina.</t>
  </si>
  <si>
    <t>Verificar el cumplimiento del criterio de aceptación: Si el login es exitoso, debe redirigir al Panel de cocina.</t>
  </si>
  <si>
    <t>• HU025: Gestión de administradores de cocina</t>
  </si>
  <si>
    <t>• Gestionar las adiciones de los productos.</t>
  </si>
  <si>
    <t>• HU026: Aislamiento de productos por cafetería</t>
  </si>
  <si>
    <t>Si falla autenticación, debe impedir acceso y mostrar mensaje de error.</t>
  </si>
  <si>
    <t>HU018</t>
  </si>
  <si>
    <t>Verificar el cumplimiento del criterio de aceptación: Si falla autenticación, debe impedir acceso y mostrar mensaje de error.</t>
  </si>
  <si>
    <t>Panel de edición de producto</t>
  </si>
  <si>
    <t>• Crear nuevos productos en el catálogo y cargar su imagen.</t>
  </si>
  <si>
    <t>• HU019</t>
  </si>
  <si>
    <t>Scrum Master &amp; UI/UX Designer</t>
  </si>
  <si>
    <t>El proceso de autenticación no debe tardar más de 2 segundos.</t>
  </si>
  <si>
    <t>Verificar el cumplimiento del criterio de aceptación: El proceso de autenticación no debe tardar más de 2 segundos.</t>
  </si>
  <si>
    <t>• Retirar productos del menú.</t>
  </si>
  <si>
    <t>• HU017</t>
  </si>
  <si>
    <t>Pruebas centradas en la experiencia de usuario (UX), componentes visuales, estados de botones y validación del carrito de compras. Incluye seguimiento y historial de pedidos del cliente, métricas del panel administrativo y estado de la cafetería.</t>
  </si>
  <si>
    <t>Debe mostrar los pedidos agrupados por estado (“Nuevos” y “En preparación”).</t>
  </si>
  <si>
    <t>Verificar el cumplimiento del criterio de aceptación: Debe mostrar los pedidos agrupados por estado (“Nuevos” y “En preparación”).</t>
  </si>
  <si>
    <t>• HU002: Card Restaurante</t>
  </si>
  <si>
    <t>• Modificar únicamente los productos de su propia cafetería.</t>
  </si>
  <si>
    <t>• HU026</t>
  </si>
  <si>
    <t>• HU006: Botón carrito</t>
  </si>
  <si>
    <t>Cada estado debe visualizar la cantidad de pedidos asociados.</t>
  </si>
  <si>
    <t>Verificar el cumplimiento del criterio de aceptación: Cada estado debe visualizar la cantidad de pedidos asociados.</t>
  </si>
  <si>
    <t>• Registrar administradores de cocina y retirarles el acceso.</t>
  </si>
  <si>
    <t>• HU007: Lista de pedidos</t>
  </si>
  <si>
    <t>• HU025</t>
  </si>
  <si>
    <t>• HU015: Card de pedidos (cocina)</t>
  </si>
  <si>
    <t>Cada pedido debe mostrarse en formato tarjeta.</t>
  </si>
  <si>
    <t>Verificar el cumplimiento del criterio de aceptación: Cada pedido debe mostrarse en formato tarjeta.</t>
  </si>
  <si>
    <t>• Ver métricas reales de pedidos y ventas en el panel administrativo.</t>
  </si>
  <si>
    <t>• HU028</t>
  </si>
  <si>
    <t>• HU017: Card de productos (admin)</t>
  </si>
  <si>
    <t>• HU020: Seguimiento de pedido por código</t>
  </si>
  <si>
    <t>La tarjeta debe visualizar el nombre del cliente.</t>
  </si>
  <si>
    <t>Verificar el cumplimiento del criterio de aceptación: La tarjeta debe visualizar el nombre del cliente.</t>
  </si>
  <si>
    <t>• Cambiar el estado de la cafetería (Abierto, Cerrado, Alta demanda), el tiempo estimado y sus datos.</t>
  </si>
  <si>
    <t>• HU029</t>
  </si>
  <si>
    <t>• HU027: Historial de pedidos del cliente</t>
  </si>
  <si>
    <t>• HU028: Métricas reales del panel administrativo</t>
  </si>
  <si>
    <t>La tarjeta debe mostrar la hora de recogida destacada visualmente.</t>
  </si>
  <si>
    <t>Verificar el cumplimiento del criterio de aceptación: La tarjeta debe mostrar la hora de recogida destacada visualmente.</t>
  </si>
  <si>
    <t>• Acceder solo a las opciones permitidas para su rol (dueño o cocina).</t>
  </si>
  <si>
    <t>HU019</t>
  </si>
  <si>
    <t>Botón añadir producto</t>
  </si>
  <si>
    <t>• HU029: Cambio de estado de la cafetería</t>
  </si>
  <si>
    <t>Cada pedido debe listar los productos solicitados junto con su cantidad.</t>
  </si>
  <si>
    <t>Verificar el cumplimiento del criterio de aceptación: Cada pedido debe listar los productos solicitados junto con su cantidad.</t>
  </si>
  <si>
    <t>Frontend Engineer</t>
  </si>
  <si>
    <t>• Registrarse junto con su cafetería; la solicitud queda pendiente de aprobación.</t>
  </si>
  <si>
    <t>• HU030</t>
  </si>
  <si>
    <t>Persona encargada de la universidad</t>
  </si>
  <si>
    <t>Pruebas de componentes de navegación (barra dinámica y rutas por tipo de usuario), renderizado de listas desde el API, buscadores, selector de cafetería y formularios de captura de datos del cliente (incluida la hora de recogida).</t>
  </si>
  <si>
    <t>Las observaciones adicionales de cada producto deben mostrarse debajo del producto correspondiente.</t>
  </si>
  <si>
    <t>Verificar el cumplimiento del criterio de aceptación: Las observaciones adicionales de cada producto deben mostrarse debajo del producto correspondiente.</t>
  </si>
  <si>
    <t>• HU001: Lista de restaurantes y cafeterías</t>
  </si>
  <si>
    <t>Usuario Interno (Universidad)</t>
  </si>
  <si>
    <t>• HU003: Barra de navegación</t>
  </si>
  <si>
    <t>Responsable de la universidad que controla qué cafeterías entran a la plataforma, aprobando o rechazando las solicitudes de registro.</t>
  </si>
  <si>
    <t>Los pedidos nuevos deben mostrar el botón “Aceptar pedido”.</t>
  </si>
  <si>
    <t>Verificar el cumplimiento del criterio de aceptación: Los pedidos nuevos deben mostrar el botón “Aceptar pedido”.</t>
  </si>
  <si>
    <t>• HU004: Lista de productos</t>
  </si>
  <si>
    <t>• Revisar las solicitudes de registro pendientes (datos de la cafetería y del administrador).</t>
  </si>
  <si>
    <t>• HU031</t>
  </si>
  <si>
    <t>• HU010: Formulario identificación</t>
  </si>
  <si>
    <t>Los pedidos en preparación deben mostrar el botón “Marcar como entregado”.</t>
  </si>
  <si>
    <t>Verificar el cumplimiento del criterio de aceptación: Los pedidos en preparación deben mostrar el botón “Marcar como entregado”.</t>
  </si>
  <si>
    <t>• Aceptar o rechazar solicitudes; al aceptar se activa la cuenta y la cafetería aparece en la lista.</t>
  </si>
  <si>
    <t>Product Owner &amp; Tech Lead</t>
  </si>
  <si>
    <t>Los botones deben diferenciarse visualmente mediante colores.</t>
  </si>
  <si>
    <t>Verificar el cumplimiento del criterio de aceptación: Los botones deben diferenciarse visualmente mediante colores.</t>
  </si>
  <si>
    <t>Pruebas de la lógica de negocio profunda, seguridad (login backend, sesión persistente y refresh token), transiciones de estado y confirmaciones de pago (portal de pago simulado). Incluye registro y aprobación de solicitudes de cafeterías.</t>
  </si>
  <si>
    <t>Elementos en distintos estados (activo/inactivo, disponible/agotado)</t>
  </si>
  <si>
    <t>• Ingresar con un rol propio de aprobación, que se suma a los roles de acceso.</t>
  </si>
  <si>
    <t>• HU024, HU031</t>
  </si>
  <si>
    <t>• HU008: Card de productos pedidos</t>
  </si>
  <si>
    <t>Debe permitir actualizar el estado del pedido desde la misma tarjeta.</t>
  </si>
  <si>
    <t>Verificar el cumplimiento del criterio de aceptación: Debe permitir actualizar el estado del pedido desde la misma tarjeta.</t>
  </si>
  <si>
    <t>HU020</t>
  </si>
  <si>
    <t>• HU009: Botón confirmar pedido</t>
  </si>
  <si>
    <t>Seguimiento de pedido por código</t>
  </si>
  <si>
    <t>• HU011: Botón continuar pago</t>
  </si>
  <si>
    <t>Al cambiar el estado del pedido, este debe moverse automáticamente a la sección correspondiente.</t>
  </si>
  <si>
    <t>Verificar el cumplimiento del criterio de aceptación: Al cambiar el estado del pedido, este debe moverse automáticamente a la sección correspondiente.</t>
  </si>
  <si>
    <t>• HU012: Formulario de login</t>
  </si>
  <si>
    <t>• HU022: Portal de pago simulado</t>
  </si>
  <si>
    <t>La lista debe permitir desplazamiento vertical para visualizar múltiples pedidos.</t>
  </si>
  <si>
    <t>Verificar el cumplimiento del criterio de aceptación: La lista debe permitir desplazamiento vertical para visualizar múltiples pedidos.</t>
  </si>
  <si>
    <t>• HU023: Sesión persistente y cierre de sesión del administrador</t>
  </si>
  <si>
    <t>• HU030: Registro de administrador y cafetería</t>
  </si>
  <si>
    <t>La visualización debe adaptarse correctamente a la página web.</t>
  </si>
  <si>
    <t>Verificar el cumplimiento del criterio de aceptación: La visualización debe adaptarse correctamente a la página web.</t>
  </si>
  <si>
    <t>• HU031: Aprobación de solicitudes de registro de cafeterías</t>
  </si>
  <si>
    <t>Andrés M. &amp; Julián M.</t>
  </si>
  <si>
    <t>Tech Lead + Frontend Eng.</t>
  </si>
  <si>
    <t>(Funcionalidad agregada) El tablero debe organizarse en tres columnas: Nuevos, En preparación y Listos.</t>
  </si>
  <si>
    <t>Abrir /admin/cocina con pedidos en cada estado.</t>
  </si>
  <si>
    <t>Pedidos en estado nuevo, en preparación y listo</t>
  </si>
  <si>
    <t>Pruebas de integración conjunta (Backend + Frontend) donde la edición de la base de datos impacta directamente la interfaz, incluidas las adiciones de productos.</t>
  </si>
  <si>
    <t>• HU018: Panel de edición de producto</t>
  </si>
  <si>
    <t>Se muestran tres columnas con sus pedidos y su cantidad.</t>
  </si>
  <si>
    <t>(Funcionalidad agregada) El tablero debe actualizarse automáticamente cada 10 segundos.</t>
  </si>
  <si>
    <t>Crear un pedido nuevo mientras el tablero está abierto y esperar sin recargar.</t>
  </si>
  <si>
    <t>Pedido nuevo creado desde la vista de cliente</t>
  </si>
  <si>
    <t>El pedido aparece en 'Nuevos' en máximo ~10 s sin recargar la página.</t>
  </si>
  <si>
    <t>La card debe mostrar el nombre del cliente.</t>
  </si>
  <si>
    <t>Verificar el cumplimiento del criterio de aceptación: La card debe mostrar el nombre del cliente.</t>
  </si>
  <si>
    <t>HU021</t>
  </si>
  <si>
    <t>Consulta de pedido (número + correo/teléfono)</t>
  </si>
  <si>
    <t>La card debe mostrar el estado actual del pedido.</t>
  </si>
  <si>
    <t>Verificar el cumplimiento del criterio de aceptación: La card debe mostrar el estado actual del pedido.</t>
  </si>
  <si>
    <t>La card debe visualizar la hora de recogida destacada visualmente.</t>
  </si>
  <si>
    <t>Verificar el cumplimiento del criterio de aceptación: La card debe visualizar la hora de recogida destacada visualmente.</t>
  </si>
  <si>
    <t>La card debe listar los productos solicitados con su cantidad correspondiente.</t>
  </si>
  <si>
    <t>Verificar el cumplimiento del criterio de aceptación: La card debe listar los productos solicitados con su cantidad correspondiente.</t>
  </si>
  <si>
    <t>Las observaciones adicionales de cada producto deben visualizarse debajo del producto.</t>
  </si>
  <si>
    <t>Verificar el cumplimiento del criterio de aceptación: Las observaciones adicionales de cada producto deben visualizarse debajo del producto.</t>
  </si>
  <si>
    <t>La card debe incluir un botón de acción según el estado del pedido.</t>
  </si>
  <si>
    <t>Verificar el cumplimiento del criterio de aceptación: La card debe incluir un botón de acción según el estado del pedido.</t>
  </si>
  <si>
    <t>HU022</t>
  </si>
  <si>
    <t>Portal de pago simulado</t>
  </si>
  <si>
    <t>La card debe actualizar visualmente el estado del pedido en tiempo real.</t>
  </si>
  <si>
    <t>Verificar el cumplimiento del criterio de aceptación: La card debe actualizar visualmente el estado del pedido en tiempo real.</t>
  </si>
  <si>
    <t>La información de la card debe visualizarse correctamente en la página web.</t>
  </si>
  <si>
    <t>Verificar el cumplimiento del criterio de aceptación: La información de la card debe visualizarse correctamente en la página web.</t>
  </si>
  <si>
    <t>La card debe mantener una estructura visual clara y ordenada.</t>
  </si>
  <si>
    <t>Verificar el cumplimiento del criterio de aceptación: La card debe mantener una estructura visual clara y ordenada.</t>
  </si>
  <si>
    <t>(Funcionalidad agregada) El cambio de estado válido debe actualizar el pedido y refrescar el tablero.</t>
  </si>
  <si>
    <t>Cambiar un pedido a su siguiente estado permitido (PATCH /api/admin/pedidos/{id}/estado).</t>
  </si>
  <si>
    <t>Pedido nuevo y administrador de cocina de esa cafetería</t>
  </si>
  <si>
    <t>El estado cambia en la base de datos y el pedido se mueve de columna.</t>
  </si>
  <si>
    <t>HU023</t>
  </si>
  <si>
    <t>Sesión persistente y cierre de sesión</t>
  </si>
  <si>
    <t>(Funcionalidad agregada) Debe rechazar transiciones de estado no permitidas.</t>
  </si>
  <si>
    <t>Intentar cambiar un pedido 'Entregado' a otro estado.</t>
  </si>
  <si>
    <t>Pedido en estado Entregado</t>
  </si>
  <si>
    <t>El backend rechaza el cambio y el estado no se modifica.</t>
  </si>
  <si>
    <t>(Funcionalidad agregada) El cambio de estado debe estar restringido al administrador de cocina del restaurante.</t>
  </si>
  <si>
    <t>Llamar al endpoint con un usuario sin rol de cocina o de otra cafetería.</t>
  </si>
  <si>
    <t>Usuario sin permisos sobre esa cafetería</t>
  </si>
  <si>
    <t>El backend responde 403 y no cambia el estado.</t>
  </si>
  <si>
    <t>(Funcionalidad agregada) El botón 'Aceptar pedido' debe funcionar y completar el cambio de estado.</t>
  </si>
  <si>
    <t>Pulsar 'Aceptar pedido' en una tarjeta de pedido nuevo.</t>
  </si>
  <si>
    <t>Pedido en estado nuevo</t>
  </si>
  <si>
    <t>El pedido pasa a 'En preparación' sin errores.</t>
  </si>
  <si>
    <t>Por asignar</t>
  </si>
  <si>
    <t>(Funcionalidad agregada) La tarjeta debe mostrar correctamente el nombre del cliente y la hora de recogida.</t>
  </si>
  <si>
    <t>Revisar la tarjeta de un pedido con cliente y hora de recogida.</t>
  </si>
  <si>
    <t>Pedido con datos de cliente y hora</t>
  </si>
  <si>
    <t>Se ven el nombre del cliente y la hora correctos.</t>
  </si>
  <si>
    <t>(Funcionalidad agregada) Debe permitir abrir la tarjeta para ver la descripción detallada de los productos.</t>
  </si>
  <si>
    <t>Hacer clic en la tarjeta de un pedido.</t>
  </si>
  <si>
    <t>Pedido con varios productos</t>
  </si>
  <si>
    <t>Se abre el detalle con la descripción de cada producto.</t>
  </si>
  <si>
    <t>Sprint 4</t>
  </si>
  <si>
    <t>HU024</t>
  </si>
  <si>
    <t>Debe mostrar los productos agrupados por categorías (“Todos”, “Almuerzos”, “Bebidas”).</t>
  </si>
  <si>
    <t>Control de acceso por rol y cafetería</t>
  </si>
  <si>
    <t>Verificar el cumplimiento del criterio de aceptación: Debe mostrar los productos agrupados por categorías (“Todos”, “Almuerzos”, “Bebidas”).</t>
  </si>
  <si>
    <t>La categoría seleccionada debe resaltarse visualmente.</t>
  </si>
  <si>
    <t>Verificar el cumplimiento del criterio de aceptación: La categoría seleccionada debe resaltarse visualmente.</t>
  </si>
  <si>
    <t>Cada producto debe visualizarse en formato tarjeta.</t>
  </si>
  <si>
    <t>Verificar el cumplimiento del criterio de aceptación: Cada producto debe visualizarse en formato tarjeta.</t>
  </si>
  <si>
    <t>La tarjeta debe mostrar imagen del producto.</t>
  </si>
  <si>
    <t>Verificar el cumplimiento del criterio de aceptación: La tarjeta debe mostrar imagen del producto.</t>
  </si>
  <si>
    <t>La tarjeta debe mostrar nombre del producto.</t>
  </si>
  <si>
    <t>Verificar el cumplimiento del criterio de aceptación: La tarjeta debe mostrar nombre del producto.</t>
  </si>
  <si>
    <t>La tarjeta debe mostrar el precio del producto en formato moneda.</t>
  </si>
  <si>
    <t>Verificar el cumplimiento del criterio de aceptación: La tarjeta debe mostrar el precio del producto en formato moneda.</t>
  </si>
  <si>
    <t>Cada producto debe visualizar su estado (“Disponible” o “Agotado”).</t>
  </si>
  <si>
    <t>Verificar el cumplimiento del criterio de aceptación: Cada producto debe visualizar su estado (“Disponible” o “Agotado”).</t>
  </si>
  <si>
    <t>HU025</t>
  </si>
  <si>
    <t>Gestión de administradores de cocina</t>
  </si>
  <si>
    <t>El estado del producto debe diferenciarse visualmente mediante colores.</t>
  </si>
  <si>
    <t>Verificar el cumplimiento del criterio de aceptación: El estado del producto debe diferenciarse visualmente mediante colores.</t>
  </si>
  <si>
    <t>Cada tarjeta debe incluir un interruptor para activar o desactivar la disponibilidad del producto.</t>
  </si>
  <si>
    <t>Verificar el cumplimiento del criterio de aceptación: Cada tarjeta debe incluir un interruptor para activar o desactivar la disponibilidad del producto.</t>
  </si>
  <si>
    <t>Clic sobre el interruptor de disponibilidad/estado</t>
  </si>
  <si>
    <t>Al cambiar el estado del interruptor, el sistema debe actualizar la disponibilidad del producto en tiempo real.</t>
  </si>
  <si>
    <t>Verificar el cumplimiento del criterio de aceptación: Al cambiar el estado del interruptor, el sistema debe actualizar la disponibilidad del producto en tiempo real.</t>
  </si>
  <si>
    <t>Los productos agotados deben visualizar el interruptor desactivado.</t>
  </si>
  <si>
    <t>Verificar el cumplimiento del criterio de aceptación: Los productos agotados deben visualizar el interruptor desactivado.</t>
  </si>
  <si>
    <t>La lista debe permitir desplazamiento vertical para visualizar múltiples productos.</t>
  </si>
  <si>
    <t>Verificar el cumplimiento del criterio de aceptación: La lista debe permitir desplazamiento vertical para visualizar múltiples productos.</t>
  </si>
  <si>
    <t>La información de los productos debe visualizarse correctamente en la página web.</t>
  </si>
  <si>
    <t>Verificar el cumplimiento del criterio de aceptación: La información de los productos debe visualizarse correctamente en la página web.</t>
  </si>
  <si>
    <t>HU026</t>
  </si>
  <si>
    <t>Aislamiento de productos por cafetería</t>
  </si>
  <si>
    <t>(Funcionalidad agregada) El endpoint GET /api/admin/restaurantes debe devolver las asignaciones activas del administrador.</t>
  </si>
  <si>
    <t>Llamar al endpoint autenticado como administrador.</t>
  </si>
  <si>
    <t>Administrador con asignaciones activas</t>
  </si>
  <si>
    <t>Responde solo las cafeterías con asignación activa del administrador.</t>
  </si>
  <si>
    <t>(Funcionalidad agregada) Debe mostrar el selector de cafetería solo cuando el administrador tenga más de una asignación.</t>
  </si>
  <si>
    <t>Ingresar con un administrador de 1 asignación y con uno de 2 o más.</t>
  </si>
  <si>
    <t>Administradores con 1 y con 2+ asignaciones</t>
  </si>
  <si>
    <t>El selector aparece solo en el caso de 2 o más asignaciones.</t>
  </si>
  <si>
    <t>(Funcionalidad agregada) El catálogo debe recargarse al cambiar de cafetería.</t>
  </si>
  <si>
    <t>Cambiar de cafetería en el selector del dashboard.</t>
  </si>
  <si>
    <t>Administrador con 2+ cafeterías</t>
  </si>
  <si>
    <t>La lista de productos corresponde a la cafetería elegida, sin cerrar sesión.</t>
  </si>
  <si>
    <t>La card debe mostrar la imagen del producto.</t>
  </si>
  <si>
    <t>Verificar el cumplimiento del criterio de aceptación: La card debe mostrar la imagen del producto.</t>
  </si>
  <si>
    <t>La card debe mostrar el nombre del producto.</t>
  </si>
  <si>
    <t>Verificar el cumplimiento del criterio de aceptación: La card debe mostrar el nombre del producto.</t>
  </si>
  <si>
    <t>La card debe visualizar el precio del producto en formato moneda.</t>
  </si>
  <si>
    <t>Verificar el cumplimiento del criterio de aceptación: La card debe visualizar el precio del producto en formato moneda.</t>
  </si>
  <si>
    <t>HU027</t>
  </si>
  <si>
    <t>Historial de pedidos del cliente</t>
  </si>
  <si>
    <t>La card debe mostrar el estado del producto (“Disponible” o “Agotado”).</t>
  </si>
  <si>
    <t>Verificar el cumplimiento del criterio de aceptación: La card debe mostrar el estado del producto (“Disponible” o “Agotado”).</t>
  </si>
  <si>
    <t>El estado debe diferenciarse visualmente mediante colores.</t>
  </si>
  <si>
    <t>Verificar el cumplimiento del criterio de aceptación: El estado debe diferenciarse visualmente mediante colores.</t>
  </si>
  <si>
    <t>La card debe incluir un interruptor para activar o desactivar la disponibilidad del producto.</t>
  </si>
  <si>
    <t>Verificar el cumplimiento del criterio de aceptación: La card debe incluir un interruptor para activar o desactivar la disponibilidad del producto.</t>
  </si>
  <si>
    <t>Los productos agotados deben mostrar el interruptor desactivado.</t>
  </si>
  <si>
    <t>Verificar el cumplimiento del criterio de aceptación: Los productos agotados deben mostrar el interruptor desactivado.</t>
  </si>
  <si>
    <t>HU028</t>
  </si>
  <si>
    <t>Métricas del panel administrativo</t>
  </si>
  <si>
    <t>(Funcionalidad agregada) El panel administrativo debe incluir el botón Eliminar para retirar un producto.</t>
  </si>
  <si>
    <t>Revisar el catálogo del panel administrativo con rol dueño.</t>
  </si>
  <si>
    <t>Cuenta de dueño con productos</t>
  </si>
  <si>
    <t>Cada producto muestra el botón Eliminar.</t>
  </si>
  <si>
    <t>(Funcionalidad agregada) DELETE /api/products/{id}?restauranteId= debe retirar el producto solo si lo solicita el dueño.</t>
  </si>
  <si>
    <t>Eliminar un producto sin pedidos con el dueño y con un usuario sin rol de dueño.</t>
  </si>
  <si>
    <t>Producto sin pedidos; dueño y no dueño</t>
  </si>
  <si>
    <t>El dueño lo elimina; el otro usuario recibe un rechazo (403).</t>
  </si>
  <si>
    <t>(Funcionalidad agregada) Los productos con pedidos históricos deben marcarse como no disponibles en lugar de eliminarse.</t>
  </si>
  <si>
    <t>Eliminar un producto que ya tiene pedidos históricos.</t>
  </si>
  <si>
    <t>Producto con detalle_pedido asociado</t>
  </si>
  <si>
    <t>El producto no se borra: queda como no disponible y el historial se conserva.</t>
  </si>
  <si>
    <t>HU029</t>
  </si>
  <si>
    <t>Cambio de estado de la cafetería</t>
  </si>
  <si>
    <t>Debe mostrar la imagen del producto seleccionado.</t>
  </si>
  <si>
    <t>Verificar el cumplimiento del criterio de aceptación: Debe mostrar la imagen del producto seleccionado.</t>
  </si>
  <si>
    <t>Andrés Martínez / Julián Miranda</t>
  </si>
  <si>
    <t>Debe visualizar el nombre del producto.</t>
  </si>
  <si>
    <t>Verificar el cumplimiento del criterio de aceptación: Debe visualizar el nombre del producto.</t>
  </si>
  <si>
    <t>Debe mostrar el precio base del producto en formato moneda.</t>
  </si>
  <si>
    <t>Verificar el cumplimiento del criterio de aceptación: Debe mostrar el precio base del producto en formato moneda.</t>
  </si>
  <si>
    <t>Debe permitir editar el precio base del producto.</t>
  </si>
  <si>
    <t>Verificar el cumplimiento del criterio de aceptación: Debe permitir editar el precio base del producto.</t>
  </si>
  <si>
    <t>Debe permitir seleccionar la categoría del producto mediante lista desplegable.</t>
  </si>
  <si>
    <t>Verificar el cumplimiento del criterio de aceptación: Debe permitir seleccionar la categoría del producto mediante lista desplegable.</t>
  </si>
  <si>
    <t>Debe permitir editar la descripción detallada del producto.</t>
  </si>
  <si>
    <t>Verificar el cumplimiento del criterio de aceptación: Debe permitir editar la descripción detallada del producto.</t>
  </si>
  <si>
    <t>Debe mostrar la cantidad de tamaños y extras configurados.</t>
  </si>
  <si>
    <t>Verificar el cumplimiento del criterio de aceptación: Debe mostrar la cantidad de tamaños y extras configurados.</t>
  </si>
  <si>
    <t>HU030</t>
  </si>
  <si>
    <t>Registro de administrador y cafetería</t>
  </si>
  <si>
    <t>Debe permitir visualizar y gestionar ingredientes extra del producto.</t>
  </si>
  <si>
    <t>Verificar el cumplimiento del criterio de aceptación: Debe permitir visualizar y gestionar ingredientes extra del producto.</t>
  </si>
  <si>
    <t>Cada ingrediente extra debe mostrar nombre y valor adicional.</t>
  </si>
  <si>
    <t>Verificar el cumplimiento del criterio de aceptación: Cada ingrediente extra debe mostrar nombre y valor adicional.</t>
  </si>
  <si>
    <t>Debe existir la opción “Añadir opción” para agregar nuevos ingredientes extra.</t>
  </si>
  <si>
    <t>Verificar el cumplimiento del criterio de aceptación: Debe existir la opción “Añadir opción” para agregar nuevos ingredientes extra.</t>
  </si>
  <si>
    <t>Debe incluir un interruptor para activar o desactivar el producto.</t>
  </si>
  <si>
    <t>Verificar el cumplimiento del criterio de aceptación: Debe incluir un interruptor para activar o desactivar el producto.</t>
  </si>
  <si>
    <t>Debe mostrar el estado del producto (“Activo”).</t>
  </si>
  <si>
    <t>Verificar el cumplimiento del criterio de aceptación: Debe mostrar el estado del producto (“Activo”).</t>
  </si>
  <si>
    <t>Debe existir botón “Guardar cambios” para almacenar la información actualizada.</t>
  </si>
  <si>
    <t>Verificar el cumplimiento del criterio de aceptación: Debe existir botón “Guardar cambios” para almacenar la información actualizada.</t>
  </si>
  <si>
    <t>HU031</t>
  </si>
  <si>
    <t>Aprobación de solicitudes de cafeterías</t>
  </si>
  <si>
    <t>Debe existir botón “Cancelar” para descartar cambios realizados.</t>
  </si>
  <si>
    <t>Verificar el cumplimiento del criterio de aceptación: Debe existir botón “Cancelar” para descartar cambios realizados.</t>
  </si>
  <si>
    <t>Al guardar cambios, el sistema debe actualizar la información en tiempo real.</t>
  </si>
  <si>
    <t>Verificar el cumplimiento del criterio de aceptación: Al guardar cambios, el sistema debe actualizar la información en tiempo real.</t>
  </si>
  <si>
    <t>La visualización del panel debe adaptarse correctamente a la página web.</t>
  </si>
  <si>
    <t>Verificar el cumplimiento del criterio de aceptación: La visualización del panel debe adaptarse correctamente a la página web.</t>
  </si>
  <si>
    <t>(Funcionalidad agregada) Debe existir el tipo de producto 'Adición' y guardarse el precio histórico en detalle_pedido_adicion.</t>
  </si>
  <si>
    <t>Crear un pedido con una adición y revisar detalle_pedido_adicion.</t>
  </si>
  <si>
    <t>Pedido con una adición</t>
  </si>
  <si>
    <t>Se guarda la adición con su precio histórico.</t>
  </si>
  <si>
    <t>(Funcionalidad agregada) fn_pedido_crear debe validar y sumar las adiciones al total del pedido.</t>
  </si>
  <si>
    <t>Confirmar un pedido con adiciones y comparar el total.</t>
  </si>
  <si>
    <t>Producto de 8500 + adición con precio</t>
  </si>
  <si>
    <t>El total del pedido incluye el precio de las adiciones; una adición inválida se rechaza.</t>
  </si>
  <si>
    <t>(Funcionalidad agregada) El detalle del pedido de cocina debe mostrar las adiciones (fn_pedido_detalle).</t>
  </si>
  <si>
    <t>Abrir en Cocina un pedido con adiciones.</t>
  </si>
  <si>
    <t>Pedido con adiciones</t>
  </si>
  <si>
    <t>El detalle lista las adiciones del pedido.</t>
  </si>
  <si>
    <t>TOTAL</t>
  </si>
  <si>
    <t>(Funcionalidad agregada) El panel administrativo debe permitir gestionar las adiciones del producto.</t>
  </si>
  <si>
    <t>Abrir el panel de edición y gestionar adiciones.</t>
  </si>
  <si>
    <t>Producto con adiciones</t>
  </si>
  <si>
    <t>Se pueden ver, crear y editar adiciones desde el panel.</t>
  </si>
  <si>
    <t>Debe existir un botón visible para añadir productos.</t>
  </si>
  <si>
    <t>Verificar el cumplimiento del criterio de aceptación: Debe existir un botón visible para añadir productos.</t>
  </si>
  <si>
    <t>Al presionar el botón, el sistema debe redirigir al formulario de creación de producto.</t>
  </si>
  <si>
    <t>Verificar el cumplimiento del criterio de aceptación: Al presionar el botón, el sistema debe redirigir al formulario de creación de producto.</t>
  </si>
  <si>
    <t>El formulario debe permitir ingresar nombre, precio, categoría, descripción e imagen del producto.</t>
  </si>
  <si>
    <t>Verificar el cumplimiento del criterio de aceptación: El formulario debe permitir ingresar nombre, precio, categoría, descripción e imagen del producto.</t>
  </si>
  <si>
    <t>Debe permitir configurar tamaños e ingredientes extra.</t>
  </si>
  <si>
    <t>Verificar el cumplimiento del criterio de aceptación: Debe permitir configurar tamaños e ingredientes extra.</t>
  </si>
  <si>
    <t>Debe permitir definir el estado inicial del producto.</t>
  </si>
  <si>
    <t>Verificar el cumplimiento del criterio de aceptación: Debe permitir definir el estado inicial del producto.</t>
  </si>
  <si>
    <t>El sistema debe validar los campos obligatorios antes de guardar.</t>
  </si>
  <si>
    <t>Verificar el cumplimiento del criterio de aceptación: El sistema debe validar los campos obligatorios antes de guardar.</t>
  </si>
  <si>
    <t>Al guardar correctamente, el producto debe agregarse a la lista de productos.</t>
  </si>
  <si>
    <t>Verificar el cumplimiento del criterio de aceptación: Al guardar correctamente, el producto debe agregarse a la lista de productos.</t>
  </si>
  <si>
    <t>Si ocurre un error en el registro, el sistema debe mostrar un mensaje informativo.</t>
  </si>
  <si>
    <t>Verificar el cumplimiento del criterio de aceptación: Si ocurre un error en el registro, el sistema debe mostrar un mensaje informativo.</t>
  </si>
  <si>
    <t>La funcionalidad debe visualizarse correctamente en la página web.</t>
  </si>
  <si>
    <t>Verificar el cumplimiento del criterio de aceptación: La funcionalidad debe visualizarse correctamente en la página web.</t>
  </si>
  <si>
    <t>(Funcionalidad agregada) El formulario de gestión de productos debe permitir cargar la imagen del producto.</t>
  </si>
  <si>
    <t>Crear un producto adjuntando una imagen desde el formulario.</t>
  </si>
  <si>
    <t>Imagen válida (jpg/png)</t>
  </si>
  <si>
    <t>La imagen se carga y se guarda con el producto.</t>
  </si>
  <si>
    <t>(Funcionalidad agregada) La imagen cargada debe mostrarse en el catálogo.</t>
  </si>
  <si>
    <t>Abrir el catálogo tras crear el producto con imagen.</t>
  </si>
  <si>
    <t>Producto recién creado con imagen</t>
  </si>
  <si>
    <t>El producto aparece completo en el catálogo con su imagen.</t>
  </si>
  <si>
    <t>Sprint 4 Ext.</t>
  </si>
  <si>
    <t>Al crear el pedido debe generarse un codigo_seguimiento (UUID) único.</t>
  </si>
  <si>
    <t>Confirmar dos pedidos distintos y revisar su codigo_seguimiento.</t>
  </si>
  <si>
    <t>Dos pedidos confirmados</t>
  </si>
  <si>
    <t>Cada pedido tiene un código UUID distinto.</t>
  </si>
  <si>
    <t>GET /api/pedidos/seguimiento/{codigo} debe devolver el pedido correspondiente.</t>
  </si>
  <si>
    <t>Consultar el endpoint con un código válido y con uno inexistente.</t>
  </si>
  <si>
    <t>Código válido y código inexistente</t>
  </si>
  <si>
    <t>Con código válido devuelve el pedido; con uno inexistente responde un error claro.</t>
  </si>
  <si>
    <t>Las rutas /seguimiento y /seguimiento/:codigo deben abrir SeguimientoPedidoPage.</t>
  </si>
  <si>
    <t>Abrir /seguimiento y /seguimiento/{codigo}.</t>
  </si>
  <si>
    <t>Código de un pedido existente</t>
  </si>
  <si>
    <t>Se muestra la página de seguimiento; con código en la URL carga el pedido.</t>
  </si>
  <si>
    <t>La barra de progreso debe mostrar los estados Recibido, Pagado, En preparación, Listo para recoger y Entregado.</t>
  </si>
  <si>
    <t>Consultar el seguimiento de un pedido y revisar la barra.</t>
  </si>
  <si>
    <t>Pedido en cualquier estado</t>
  </si>
  <si>
    <t>Se ven los cinco estados y el estado actual resaltado.</t>
  </si>
  <si>
    <t>El estado Cancelado debe mostrarse de forma diferenciada.</t>
  </si>
  <si>
    <t>Consultar el seguimiento de un pedido cancelado.</t>
  </si>
  <si>
    <t>Pedido en estado Cancelado</t>
  </si>
  <si>
    <t>Se muestra el estado Cancelado, distinto del avance normal.</t>
  </si>
  <si>
    <t>La barra debe reflejar el cambio de estado hecho desde cocina.</t>
  </si>
  <si>
    <t>Cambiar el estado desde Cocina y volver al seguimiento.</t>
  </si>
  <si>
    <t>Pedido pagado y aceptado en cocina</t>
  </si>
  <si>
    <t>La barra avanza al nuevo estado.</t>
  </si>
  <si>
    <t>Consulta de pedido por número y correo o teléfono</t>
  </si>
  <si>
    <t>GET /api/pedidos/consulta debe encontrar el pedido por número de pedido y correo.</t>
  </si>
  <si>
    <t>Consultar con número de pedido y correo del cliente.</t>
  </si>
  <si>
    <t>Número y correo de un pedido existente</t>
  </si>
  <si>
    <t>Devuelve el pedido que coincide.</t>
  </si>
  <si>
    <t>Debe encontrar el pedido por número de pedido y teléfono (normalizado).</t>
  </si>
  <si>
    <t>Consultar con el teléfono con espacios o guiones.</t>
  </si>
  <si>
    <t>Teléfono en formatos '300 123 4567' y '300-123-4567'</t>
  </si>
  <si>
    <t>Devuelve el pedido sin importar el formato del teléfono.</t>
  </si>
  <si>
    <t>Debe responder 400 cuando no se envíe el código ni el número con un identificador secundario.</t>
  </si>
  <si>
    <t>Llamar al endpoint sin parámetros o solo con el número.</t>
  </si>
  <si>
    <t>Consulta sin datos suficientes</t>
  </si>
  <si>
    <t>El backend responde 400. Revisar esta prueba cuando se implemente la consulta con un solo dato.</t>
  </si>
  <si>
    <t>El último pedido debe guardarse en localStorage (upbfood.lastOrder) y validarse en el formulario de consulta.</t>
  </si>
  <si>
    <t>Confirmar un pedido y revisar localStorage; luego consultar desde el formulario.</t>
  </si>
  <si>
    <t>Pedido recién confirmado</t>
  </si>
  <si>
    <t>Existe upbfood.lastOrder y el formulario valida los datos contra él.</t>
  </si>
  <si>
    <t>Debe mostrar mensajes de error claros cuando no haya coincidencia.</t>
  </si>
  <si>
    <t>Consultar con datos que no coinciden con ningún pedido.</t>
  </si>
  <si>
    <t>Número de pedido y correo incorrectos</t>
  </si>
  <si>
    <t>Se muestra un mensaje claro sin datos técnicos.</t>
  </si>
  <si>
    <t>(Funcionalidad agregada) Debe permitir consultar el pedido con un solo dato.</t>
  </si>
  <si>
    <t>Consultar usando solo el número de pedido (o solo el correo/teléfono).</t>
  </si>
  <si>
    <t>Un único identificador válido</t>
  </si>
  <si>
    <t>Devuelve el pedido sin exigir un segundo dato.</t>
  </si>
  <si>
    <t>Pendiente de ejecutar (por confirmar con el equipo)</t>
  </si>
  <si>
    <t>(Funcionalidad agregada) La validación del endpoint debe ajustarse para aceptar un solo dato.</t>
  </si>
  <si>
    <t>Llamar al endpoint con un solo identificador.</t>
  </si>
  <si>
    <t>Un único identificador</t>
  </si>
  <si>
    <t>No responde 400 por falta del identificador secundario.</t>
  </si>
  <si>
    <t>PagoPage debe permitir elegir el método de pago (Efectivo, Tarjeta o Transferencia).</t>
  </si>
  <si>
    <t>Abrir /pago y revisar las opciones.</t>
  </si>
  <si>
    <t>Pedido en paso 3 (Pago)</t>
  </si>
  <si>
    <t>Se muestran los tres métodos y se puede elegir uno.</t>
  </si>
  <si>
    <t>El botón de simulación de aprobación debe registrar el pago.</t>
  </si>
  <si>
    <t>Elegir un método y pulsar el botón de aprobación.</t>
  </si>
  <si>
    <t>Pedido en estado Pendiente o En pago</t>
  </si>
  <si>
    <t>Se registra el pago y se muestra el mensaje de pago aprobado.</t>
  </si>
  <si>
    <t>PUT /api/pedidos/seguimiento/{codigo}/pago debe cambiar el estado a Pagado cuando el monto es igual al total.</t>
  </si>
  <si>
    <t>Registrar el pago con el monto exacto del pedido.</t>
  </si>
  <si>
    <t>Monto igual al total</t>
  </si>
  <si>
    <t>El pedido queda en estado Pagado.</t>
  </si>
  <si>
    <t>Debe rechazar el pago cuando el monto no coincide con el total.</t>
  </si>
  <si>
    <t>Registrar el pago con un monto distinto al total.</t>
  </si>
  <si>
    <t>Monto menor y monto mayor al total</t>
  </si>
  <si>
    <t>El backend rechaza el pago y el estado no cambia.</t>
  </si>
  <si>
    <t>Solo debe aceptar el pago si el pedido está Pendiente o En pago.</t>
  </si>
  <si>
    <t>Intentar pagar un pedido ya Pagado o Entregado.</t>
  </si>
  <si>
    <t>Pedido en estado Pagado</t>
  </si>
  <si>
    <t>El pago se rechaza.</t>
  </si>
  <si>
    <t>Debe existir un solo pago por pedido.</t>
  </si>
  <si>
    <t>Intentar registrar un segundo pago para el mismo pedido.</t>
  </si>
  <si>
    <t>Pedido ya pagado</t>
  </si>
  <si>
    <t>No se crea un segundo registro de pago.</t>
  </si>
  <si>
    <t>Debe mostrar mensajes de pago aprobado y de error de conexión.</t>
  </si>
  <si>
    <t>Pagar con el backend disponible y luego con el backend detenido.</t>
  </si>
  <si>
    <t>Servicio disponible y servicio caído</t>
  </si>
  <si>
    <t>Mensaje de aprobado en el primer caso y de error de conexión en el segundo.</t>
  </si>
  <si>
    <t>La sesión del administrador debe mantenerse al recargar la página.</t>
  </si>
  <si>
    <t>Iniciar sesión, recargar el navegador (F5) y revisar que siga activa.</t>
  </si>
  <si>
    <t>Sesión de administrador activa</t>
  </si>
  <si>
    <t>El usuario sigue en el panel sin volver a iniciar sesión (refreshSession).</t>
  </si>
  <si>
    <t>POST /api/admin/refresh debe renovar el JWT con cookie HttpOnly y rotar el token.</t>
  </si>
  <si>
    <t>Llamar a refresh y reutilizar el token anterior.</t>
  </si>
  <si>
    <t>Cookie de refresh válida</t>
  </si>
  <si>
    <t>Se entrega un JWT nuevo y el refresh token anterior deja de servir.</t>
  </si>
  <si>
    <t>apiFetch debe renovar el JWT automáticamente al recibir un 401.</t>
  </si>
  <si>
    <t>Dejar expirar el JWT y ejecutar una acción del panel.</t>
  </si>
  <si>
    <t>JWT de acceso vencido</t>
  </si>
  <si>
    <t>La solicitud se reintenta con un JWT nuevo sin pedir login.</t>
  </si>
  <si>
    <t>POST /api/admin/logout debe cerrar la sesión de forma segura.</t>
  </si>
  <si>
    <t>Cerrar sesión y volver a intentar entrar a /admin/dashboard.</t>
  </si>
  <si>
    <t>El refresh token se revoca, se limpia la cookie y se redirige a /admin.</t>
  </si>
  <si>
    <t>El refresh token debe almacenarse como hash SHA-256.</t>
  </si>
  <si>
    <t>Revisar la tabla refresh_tokens después de iniciar sesión.</t>
  </si>
  <si>
    <t>Registro creado tras login</t>
  </si>
  <si>
    <t>El token no aparece en texto plano en la base de datos.</t>
  </si>
  <si>
    <t>Deben existir los tipos Dueño de restaurante y Administrador de cocina, con rol y estado por cafetería.</t>
  </si>
  <si>
    <t>Revisar tipo_administrador y administrador_restaurante en la base de datos.</t>
  </si>
  <si>
    <t>Base de datos inicializada</t>
  </si>
  <si>
    <t>Existen los dos tipos y cada asignación guarda rol y estado.</t>
  </si>
  <si>
    <t>AdminAuthorizationService debe responder 403 cuando el usuario no tiene permisos.</t>
  </si>
  <si>
    <t>Llamar acciones de dueño con un administrador de cocina.</t>
  </si>
  <si>
    <t>Cuenta con rol cocina</t>
  </si>
  <si>
    <t>El backend responde 403.</t>
  </si>
  <si>
    <t>JwtAuthenticationFilter y SecurityConfig deben proteger las rutas administrativas y dejar públicas las de cliente.</t>
  </si>
  <si>
    <t>Llamar endpoints protegidos sin token y endpoints públicos sin sesión.</t>
  </si>
  <si>
    <t>Solicitudes sin token</t>
  </si>
  <si>
    <t>Los protegidos rechazan la solicitud; los públicos responden.</t>
  </si>
  <si>
    <t>La barra de navegación debe mostrar solo las opciones permitidas (Panel administrativo o Cocina).</t>
  </si>
  <si>
    <t>Ingresar con dueño y con administrador de cocina.</t>
  </si>
  <si>
    <t>Una cuenta de cada rol</t>
  </si>
  <si>
    <t>Cada rol ve únicamente sus opciones.</t>
  </si>
  <si>
    <t>Las rutas /admin/* deben estar protegidas.</t>
  </si>
  <si>
    <t>Entrar por URL a /admin/dashboard y /admin/cocina sin permiso.</t>
  </si>
  <si>
    <t>URL directa sin sesión o sin rol</t>
  </si>
  <si>
    <t>Se redirige a /admin.</t>
  </si>
  <si>
    <t>Las pruebas AdminAuthorizationServiceTest deben pasar.</t>
  </si>
  <si>
    <t>Ejecutar ./mvnw test en P_upbFood/Backend.</t>
  </si>
  <si>
    <t>Suite de pruebas del backend</t>
  </si>
  <si>
    <t>AdminAuthorizationServiceTest termina sin fallos.</t>
  </si>
  <si>
    <t>Debe incluir el rol de la persona encargada de la universidad que aprueba solicitudes (ver HU031).</t>
  </si>
  <si>
    <t>Ingresar con la cuenta de la persona encargada.</t>
  </si>
  <si>
    <t>Cuenta con rol de aprobación</t>
  </si>
  <si>
    <t>El rol existe y habilita el acceso a las solicitudes de registro.</t>
  </si>
  <si>
    <t>El dueño debe poder registrar un administrador de cocina (nombre, teléfono, correo y contraseña).</t>
  </si>
  <si>
    <t>Completar el formulario del panel y guardar.</t>
  </si>
  <si>
    <t>Datos válidos de un nuevo administrador</t>
  </si>
  <si>
    <t>Se crea el administrador y aparece en el listado activo.</t>
  </si>
  <si>
    <t>La contraseña debe tener mínimo 8 caracteres.</t>
  </si>
  <si>
    <t>Registrar un administrador con contraseña corta.</t>
  </si>
  <si>
    <t>Contraseña de 7 caracteres</t>
  </si>
  <si>
    <t>El sistema rechaza el registro con un mensaje de validación.</t>
  </si>
  <si>
    <t>Debe responder 409 si el correo ya está registrado.</t>
  </si>
  <si>
    <t>Registrar un administrador con un correo existente.</t>
  </si>
  <si>
    <t>Correo ya registrado</t>
  </si>
  <si>
    <t>El backend responde 409 y se informa al usuario.</t>
  </si>
  <si>
    <t>La contraseña debe guardarse con BCrypt.</t>
  </si>
  <si>
    <t>Revisar el hash en la base de datos tras el registro.</t>
  </si>
  <si>
    <t>Administrador recién creado</t>
  </si>
  <si>
    <t>La contraseña aparece como hash BCrypt, no en texto plano.</t>
  </si>
  <si>
    <t>Al retirar el acceso debe aplicarse borrado lógico (asignación Inactivo).</t>
  </si>
  <si>
    <t>Retirar a un administrador de cocina y revisar la asignación.</t>
  </si>
  <si>
    <t>Administrador de cocina activo</t>
  </si>
  <si>
    <t>La asignación queda Inactivo y el registro se conserva.</t>
  </si>
  <si>
    <t>El administrador retirado no debe poder ingresar a Cocina y el listado solo muestra los activos.</t>
  </si>
  <si>
    <t>Intentar iniciar sesión con la cuenta retirada y revisar el listado.</t>
  </si>
  <si>
    <t>Cuenta con asignación inactiva</t>
  </si>
  <si>
    <t>No accede a Cocina y no aparece en el listado de activos.</t>
  </si>
  <si>
    <t>Solo el dueño debe poder gestionar administradores de cocina.</t>
  </si>
  <si>
    <t>Llamar GET/POST/DELETE /api/admin/restaurantes/{id}/administradores-cocina con un rol de cocina.</t>
  </si>
  <si>
    <t>El backend rechaza la solicitud (403).</t>
  </si>
  <si>
    <t>Crear, editar y eliminar producto deben exigir el restauranteId.</t>
  </si>
  <si>
    <t>Enviar las tres operaciones sin restauranteId.</t>
  </si>
  <si>
    <t>Solicitud sin restauranteId</t>
  </si>
  <si>
    <t>El backend rechaza la solicitud.</t>
  </si>
  <si>
    <t>El administrador debe tener una asignación activa en la cafetería indicada.</t>
  </si>
  <si>
    <t>Intentar modificar productos con un administrador sin asignación en esa cafetería.</t>
  </si>
  <si>
    <t>Administrador sin asignación activa</t>
  </si>
  <si>
    <t>La operación es rechazada.</t>
  </si>
  <si>
    <t>Debe rechazar con 403 los intentos sobre productos de otra cafetería.</t>
  </si>
  <si>
    <t>Editar un producto que pertenece a otra cafetería.</t>
  </si>
  <si>
    <t>Producto de otra cafetería (producto_restaurante)</t>
  </si>
  <si>
    <t>El backend responde 403 y el producto no cambia.</t>
  </si>
  <si>
    <t>Crear, editar y eliminar deben restringirse al rol dueño.</t>
  </si>
  <si>
    <t>Realizar las tres operaciones con un administrador de cocina.</t>
  </si>
  <si>
    <t>Se rechazan; el dueño sí puede.</t>
  </si>
  <si>
    <t>GET /api/productos/admin debe limitarse a administradores asignados.</t>
  </si>
  <si>
    <t>Consultar el listado con un administrador asignado y con uno ajeno a la cafetería.</t>
  </si>
  <si>
    <t>Dos administradores distintos</t>
  </si>
  <si>
    <t>Solo el asignado ve los productos de esa cafetería.</t>
  </si>
  <si>
    <t>Las pruebas ProductControllerTest y AdminAuthorizationServiceTest deben pasar.</t>
  </si>
  <si>
    <t>Ambas clases de prueba terminan sin fallos.</t>
  </si>
  <si>
    <t>La ruta /historial debe reemplazar el contenido provisional por el historial real.</t>
  </si>
  <si>
    <t>Abrir /historial desde la barra de navegación.</t>
  </si>
  <si>
    <t>Cliente con pedidos anteriores</t>
  </si>
  <si>
    <t>Se muestra la lista de pedidos y no el contenido provisional.</t>
  </si>
  <si>
    <t>Debe consultar los pedidos con el correo o teléfono del cliente.</t>
  </si>
  <si>
    <t>Ingresar el correo o el teléfono del cliente.</t>
  </si>
  <si>
    <t>Correo o teléfono con pedidos</t>
  </si>
  <si>
    <t>Se listan solo los pedidos de ese cliente.</t>
  </si>
  <si>
    <t>Cada pedido debe mostrar estado, total y fecha, con acceso al seguimiento.</t>
  </si>
  <si>
    <t>Revisar un ítem del historial y abrir su seguimiento.</t>
  </si>
  <si>
    <t>Pedido anterior</t>
  </si>
  <si>
    <t>Muestra estado, total y fecha; el enlace abre /seguimiento/{codigo}.</t>
  </si>
  <si>
    <t>Debe mostrar un mensaje cuando no existan pedidos.</t>
  </si>
  <si>
    <t>Consultar con un correo sin pedidos.</t>
  </si>
  <si>
    <t>Correo sin pedidos</t>
  </si>
  <si>
    <t>Aparece un mensaje de historial vacío.</t>
  </si>
  <si>
    <t>Métricas reales del panel administrativo</t>
  </si>
  <si>
    <t>El Resumen del día debe mostrar cifras reales de pedidos y ventas.</t>
  </si>
  <si>
    <t>Crear pedidos pagados y comparar el panel con la base de datos.</t>
  </si>
  <si>
    <t>Pedidos del día en la cafetería</t>
  </si>
  <si>
    <t>Las cifras coinciden con las tablas pedido y pago.</t>
  </si>
  <si>
    <t>Las ventas del mes deben calcularse con datos reales.</t>
  </si>
  <si>
    <t>Comparar el valor del panel con la suma de pagos del mes.</t>
  </si>
  <si>
    <t>Pagos del mes registrados</t>
  </si>
  <si>
    <t>El valor coincide con la suma real.</t>
  </si>
  <si>
    <t>El endpoint de métricas debe agregar datos de pedido y pago solo de la cafetería del administrador.</t>
  </si>
  <si>
    <t>Consultar las métricas con administradores de distintas cafeterías.</t>
  </si>
  <si>
    <t>Dos administradores de cafeterías distintas</t>
  </si>
  <si>
    <t>Cada uno ve únicamente las métricas de su cafetería.</t>
  </si>
  <si>
    <t>Las Acciones rápidas deben abrir sus vistas o retirarse del panel.</t>
  </si>
  <si>
    <t>Pulsar cada acción rápida del dashboard.</t>
  </si>
  <si>
    <t>Panel administrativo</t>
  </si>
  <si>
    <t>Cada acción funciona o ya no aparece, según la decisión del equipo.</t>
  </si>
  <si>
    <t>Debe definirse si se mantiene la calificación promedio.</t>
  </si>
  <si>
    <t>Revisar el panel respecto a la calificación promedio.</t>
  </si>
  <si>
    <t>Se muestra con datos reales o se retira (no existe en la base de datos).</t>
  </si>
  <si>
    <t>(Funcionalidad agregada) Todo el dashboard del administrador (AdminDashboardPage) debe quedar funcional.</t>
  </si>
  <si>
    <t>Recorrer todos los elementos de AdminDashboardPage.</t>
  </si>
  <si>
    <t>Cuenta de dueño</t>
  </si>
  <si>
    <t>No quedan elementos que no hagan nada.</t>
  </si>
  <si>
    <t>El dueño debe poder cambiar el estado de la cafetería (Abierto, Cerrado o Alta demanda).</t>
  </si>
  <si>
    <t>Cambiar el estado desde 'Configurar cafetería'.</t>
  </si>
  <si>
    <t>El estado se guarda.</t>
  </si>
  <si>
    <t>El dueño debe poder cambiar el tiempo estimado de pedido.</t>
  </si>
  <si>
    <t>Editar el tiempo estimado y guardar.</t>
  </si>
  <si>
    <t>Tiempo estimado de 15 min</t>
  </si>
  <si>
    <t>El nuevo tiempo se guarda y se muestra en la card.</t>
  </si>
  <si>
    <t>El control debe estar disponible solo para el dueño.</t>
  </si>
  <si>
    <t>Ingresar con un administrador de cocina.</t>
  </si>
  <si>
    <t>No ve el control ni puede usar el endpoint (403).</t>
  </si>
  <si>
    <t>El cambio debe reflejarse en CardRestaurante y en el menú.</t>
  </si>
  <si>
    <t>Cambiar el estado y abrir la vista de cliente.</t>
  </si>
  <si>
    <t>Cafetería con estado modificado</t>
  </si>
  <si>
    <t>La card y el menú muestran el nuevo estado y tiempo.</t>
  </si>
  <si>
    <t>Con la cafetería en Cerrado, la validación de pedidos debe rechazar nuevos pedidos.</t>
  </si>
  <si>
    <t>Cerrar la cafetería y crear un pedido.</t>
  </si>
  <si>
    <t>Cafetería en estado Cerrado</t>
  </si>
  <si>
    <t>El pedido es rechazado.</t>
  </si>
  <si>
    <t>(Funcionalidad agregada) El dueño debe poder editar nombre, imagen, horarios y categorías de su cafetería.</t>
  </si>
  <si>
    <t>Editar esos datos en 'Configurar cafetería' y guardar.</t>
  </si>
  <si>
    <t>Datos nuevos de la cafetería</t>
  </si>
  <si>
    <t>Se guardan y se reflejan en CardRestaurante y en el menú (categorías por confirmar).</t>
  </si>
  <si>
    <t>Debe existir una pantalla de registro con los datos de la cuenta administrativa y de la cafetería.</t>
  </si>
  <si>
    <t>Abrir la pantalla de registro.</t>
  </si>
  <si>
    <t>Navegador sin sesión</t>
  </si>
  <si>
    <t>El formulario pide datos de la cuenta y de la cafetería.</t>
  </si>
  <si>
    <t>Debe validar los campos obligatorios y mostrar mensajes.</t>
  </si>
  <si>
    <t>Enviar el formulario vacío y con datos inválidos.</t>
  </si>
  <si>
    <t>Campos vacíos y formatos inválidos</t>
  </si>
  <si>
    <t>No permite enviar y muestra mensajes claros.</t>
  </si>
  <si>
    <t>El endpoint de registro debe guardar al administrador y su cafetería asociados.</t>
  </si>
  <si>
    <t>Enviar un registro válido y revisar la base de datos.</t>
  </si>
  <si>
    <t>Datos completos válidos</t>
  </si>
  <si>
    <t>Se crean el administrador y la cafetería y quedan asociados.</t>
  </si>
  <si>
    <t>El registro debe quedar como solicitud pendiente de aprobación.</t>
  </si>
  <si>
    <t>Revisar el estado de la solicitud tras registrarse.</t>
  </si>
  <si>
    <t>Registro recién enviado</t>
  </si>
  <si>
    <t>Queda como pendiente; no se crea una cuenta activa.</t>
  </si>
  <si>
    <t>La cuenta no debe poder ingresar hasta que se apruebe.</t>
  </si>
  <si>
    <t>Intentar iniciar sesión con la cuenta pendiente.</t>
  </si>
  <si>
    <t>Credenciales de la cuenta pendiente</t>
  </si>
  <si>
    <t>El ingreso es rechazado.</t>
  </si>
  <si>
    <t>(Adicional QA) Debe rechazar un registro con un correo ya existente.</t>
  </si>
  <si>
    <t>Registrar una cuenta con un correo ya usado.</t>
  </si>
  <si>
    <t>Correo existente</t>
  </si>
  <si>
    <t>El sistema rechaza el registro con un mensaje claro.</t>
  </si>
  <si>
    <t>La vista de solicitudes debe listar las pendientes con datos de la cafetería y del administrador.</t>
  </si>
  <si>
    <t>Abrir la vista de solicitudes pendientes.</t>
  </si>
  <si>
    <t>Solicitudes en estado pendiente</t>
  </si>
  <si>
    <t>Se listan con los datos de ambos y los botones aceptar y rechazar.</t>
  </si>
  <si>
    <t>Los endpoints deben restringirse a la persona encargada de la universidad.</t>
  </si>
  <si>
    <t>Llamarlos con un dueño y con un administrador de cocina.</t>
  </si>
  <si>
    <t>Cuenta sin rol de aprobación</t>
  </si>
  <si>
    <t>Al aceptar, debe activarse la cuenta administrativa y la cafetería debe aparecer en la lista.</t>
  </si>
  <si>
    <t>Aceptar una solicitud y revisar la lista de cafeterías.</t>
  </si>
  <si>
    <t>Solicitud pendiente</t>
  </si>
  <si>
    <t>La cuenta queda activa y la cafetería aparece en la lista pública.</t>
  </si>
  <si>
    <t>Al rechazar, la cuenta no debe activarse ni la cafetería aparecer.</t>
  </si>
  <si>
    <t>Rechazar una solicitud.</t>
  </si>
  <si>
    <t>La cuenta sigue inactiva y la cafetería no aparece.</t>
  </si>
  <si>
    <t>Debe guardarse el estado de cada solicitud (pendiente, aprobada o rechazada).</t>
  </si>
  <si>
    <t>Revisar la base de datos antes y después de decidir.</t>
  </si>
  <si>
    <t>Solicitudes en distintos estados</t>
  </si>
  <si>
    <t>Cada solicitud guarda su estado actual.</t>
  </si>
  <si>
    <t>Tras aprobarse, el administrador debe poder iniciar sesión.</t>
  </si>
  <si>
    <t>Iniciar sesión con la cuenta aprobada.</t>
  </si>
  <si>
    <t>Credenciales de la cuenta aprobada</t>
  </si>
  <si>
    <t>El ingreso es exitoso y accede a su panel.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</si>
</sst>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20.0"/>
      <color rgb="FF1F3864"/>
      <name val="Arial"/>
    </font>
    <font/>
    <font>
      <b/>
      <sz val="10.0"/>
      <color rgb="FFFFFFFF"/>
      <name val="Arial"/>
    </font>
    <font>
      <i/>
      <sz val="12.0"/>
      <color rgb="FF444444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006100"/>
      <name val="Arial"/>
    </font>
    <font>
      <sz val="10.0"/>
      <color rgb="FF006100"/>
      <name val="Arial"/>
    </font>
    <font>
      <color rgb="FF000000"/>
      <name val="Arial"/>
    </font>
    <font>
      <b/>
      <sz val="10.0"/>
      <color rgb="FF006100"/>
      <name val="Arial"/>
    </font>
    <font>
      <color rgb="FF006100"/>
      <name val="Arial"/>
    </font>
    <font>
      <b/>
      <sz val="12.0"/>
      <color rgb="FF1F3864"/>
      <name val="Arial"/>
    </font>
    <font>
      <sz val="10.0"/>
      <color rgb="FF7F6000"/>
      <name val="Arial"/>
    </font>
    <font>
      <sz val="11.0"/>
      <color theme="1"/>
      <name val="Calibri"/>
    </font>
    <font>
      <b/>
      <sz val="10.0"/>
      <color rgb="FF7F6000"/>
      <name val="Arial"/>
    </font>
    <font>
      <b/>
      <sz val="13.0"/>
      <color theme="1"/>
      <name val="Arial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</fills>
  <borders count="18">
    <border/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/>
    </xf>
    <xf borderId="9" fillId="0" fontId="6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2" fillId="0" fontId="8" numFmtId="0" xfId="0" applyAlignment="1" applyBorder="1" applyFont="1">
      <alignment shrinkToFit="0" wrapText="1"/>
    </xf>
    <xf borderId="9" fillId="3" fontId="9" numFmtId="0" xfId="0" applyAlignment="1" applyBorder="1" applyFill="1" applyFont="1">
      <alignment horizontal="center" shrinkToFit="0" vertical="center" wrapText="1"/>
    </xf>
    <xf borderId="9" fillId="3" fontId="10" numFmtId="0" xfId="0" applyAlignment="1" applyBorder="1" applyFill="1" applyFont="1">
      <alignment horizontal="center" shrinkToFit="0" vertical="center" wrapText="1"/>
    </xf>
    <xf borderId="9" fillId="4" fontId="11" numFmtId="0" xfId="0" applyAlignment="1" applyBorder="1" applyFill="1" applyFont="1">
      <alignment horizontal="left" readingOrder="0"/>
    </xf>
    <xf borderId="9" fillId="3" fontId="12" numFmtId="0" xfId="0" applyAlignment="1" applyBorder="1" applyFill="1" applyFont="1">
      <alignment horizontal="center" shrinkToFit="0" vertical="center" wrapText="1"/>
    </xf>
    <xf borderId="9" fillId="5" fontId="6" numFmtId="0" xfId="0" applyAlignment="1" applyBorder="1" applyFill="1" applyFont="1">
      <alignment horizontal="left" shrinkToFit="0" vertical="center" wrapText="1"/>
    </xf>
    <xf borderId="9" fillId="5" fontId="6" numFmtId="0" xfId="0" applyAlignment="1" applyBorder="1" applyFill="1" applyFont="1">
      <alignment horizontal="center" shrinkToFit="0" vertical="center" wrapText="1"/>
    </xf>
    <xf borderId="9" fillId="4" fontId="13" numFmtId="0" xfId="0" applyAlignment="1" applyBorder="1" applyFill="1" applyFont="1">
      <alignment horizontal="left" readingOrder="0"/>
    </xf>
    <xf borderId="2" fillId="0" fontId="14" numFmtId="0" xfId="0" applyAlignment="1" applyBorder="1" applyFont="1">
      <alignment horizontal="center"/>
    </xf>
    <xf borderId="9" fillId="6" fontId="15" numFmtId="0" xfId="0" applyAlignment="1" applyBorder="1" applyFill="1" applyFont="1">
      <alignment horizontal="left" shrinkToFit="0" vertical="center" wrapText="1"/>
    </xf>
    <xf borderId="9" fillId="3" fontId="16" numFmtId="0" xfId="0" applyBorder="1" applyFill="1" applyFont="1"/>
    <xf borderId="9" fillId="6" fontId="17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center"/>
    </xf>
    <xf borderId="9" fillId="7" fontId="16" numFmtId="0" xfId="0" applyBorder="1" applyFill="1" applyFont="1"/>
    <xf borderId="9" fillId="3" fontId="6" numFmtId="0" xfId="0" applyAlignment="1" applyBorder="1" applyFill="1" applyFont="1">
      <alignment horizontal="center" readingOrder="0" shrinkToFit="0" vertical="center" wrapText="1"/>
    </xf>
    <xf borderId="9" fillId="0" fontId="6" numFmtId="9" xfId="0" applyAlignment="1" applyBorder="1" applyFont="1" applyNumberFormat="1">
      <alignment horizontal="center" shrinkToFit="0" vertical="center" wrapText="1"/>
    </xf>
    <xf borderId="9" fillId="6" fontId="16" numFmtId="0" xfId="0" applyBorder="1" applyFill="1" applyFont="1"/>
    <xf borderId="9" fillId="5" fontId="6" numFmtId="9" xfId="0" applyAlignment="1" applyBorder="1" applyFill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vertical="center"/>
    </xf>
    <xf borderId="0" fillId="0" fontId="8" numFmtId="0" xfId="0" applyAlignment="1" applyFont="1">
      <alignment vertical="center"/>
    </xf>
    <xf borderId="11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13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6" fillId="0" fontId="8" numFmtId="0" xfId="0" applyAlignment="1" applyBorder="1" applyFont="1">
      <alignment horizontal="left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17" fillId="0" fontId="8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0" fillId="0" fontId="16" numFmtId="0" xfId="0" applyFont="1"/>
    <xf borderId="9" fillId="8" fontId="19" numFmtId="0" xfId="0" applyAlignment="1" applyBorder="1" applyFill="1" applyFont="1">
      <alignment horizontal="center" shrinkToFit="0" vertical="center" wrapText="1"/>
    </xf>
    <xf borderId="9" fillId="8" fontId="19" numFmtId="0" xfId="0" applyAlignment="1" applyBorder="1" applyFill="1" applyFont="1">
      <alignment horizontal="left" shrinkToFit="0" vertical="center" wrapText="1"/>
    </xf>
    <xf borderId="9" fillId="8" fontId="19" numFmtId="9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3.29"/>
    <col customWidth="1" min="3" max="3" width="48.0"/>
    <col customWidth="1" min="4" max="6" width="14.43"/>
  </cols>
  <sheetData>
    <row r="1" ht="15.0" customHeight="1"/>
    <row r="2" ht="24.0" customHeight="1">
      <c r="B2" s="2" t="s">
        <v>1</v>
      </c>
      <c r="C2" s="4"/>
      <c r="D2" s="4"/>
      <c r="E2" s="4"/>
      <c r="F2" s="4"/>
      <c r="G2" s="4"/>
      <c r="H2" s="6"/>
    </row>
    <row r="3" ht="15.0" customHeight="1">
      <c r="B3" s="9" t="s">
        <v>6</v>
      </c>
      <c r="C3" s="4"/>
      <c r="D3" s="4"/>
      <c r="E3" s="4"/>
      <c r="F3" s="4"/>
      <c r="G3" s="4"/>
      <c r="H3" s="6"/>
    </row>
    <row r="4" ht="15.0" customHeight="1">
      <c r="B4" s="12" t="s">
        <v>26</v>
      </c>
      <c r="C4" s="13" t="s">
        <v>31</v>
      </c>
      <c r="D4" s="4"/>
      <c r="E4" s="4"/>
      <c r="F4" s="4"/>
      <c r="G4" s="4"/>
      <c r="H4" s="6"/>
    </row>
    <row r="5" ht="15.0" customHeight="1">
      <c r="B5" s="12" t="s">
        <v>38</v>
      </c>
      <c r="C5" s="13" t="s">
        <v>40</v>
      </c>
      <c r="D5" s="4"/>
      <c r="E5" s="4"/>
      <c r="F5" s="4"/>
      <c r="G5" s="4"/>
      <c r="H5" s="6"/>
    </row>
    <row r="6" ht="15.0" customHeight="1">
      <c r="B6" s="12" t="s">
        <v>42</v>
      </c>
      <c r="C6" s="13" t="s">
        <v>43</v>
      </c>
      <c r="D6" s="4"/>
      <c r="E6" s="4"/>
      <c r="F6" s="4"/>
      <c r="G6" s="4"/>
      <c r="H6" s="6"/>
    </row>
    <row r="7" ht="15.0" customHeight="1">
      <c r="B7" s="12" t="s">
        <v>46</v>
      </c>
      <c r="C7" s="13" t="s">
        <v>50</v>
      </c>
      <c r="D7" s="4"/>
      <c r="E7" s="4"/>
      <c r="F7" s="4"/>
      <c r="G7" s="4"/>
      <c r="H7" s="6"/>
    </row>
    <row r="8" ht="30.0" customHeight="1">
      <c r="B8" s="12" t="s">
        <v>54</v>
      </c>
      <c r="C8" s="13" t="s">
        <v>59</v>
      </c>
      <c r="D8" s="4"/>
      <c r="E8" s="4"/>
      <c r="F8" s="4"/>
      <c r="G8" s="4"/>
      <c r="H8" s="6"/>
    </row>
    <row r="9" ht="15.0" customHeight="1"/>
    <row r="10" ht="15.0" customHeight="1">
      <c r="B10" s="21" t="s">
        <v>68</v>
      </c>
      <c r="C10" s="4"/>
      <c r="D10" s="4"/>
      <c r="E10" s="4"/>
      <c r="F10" s="6"/>
    </row>
    <row r="11" ht="15.0" customHeight="1">
      <c r="B11" s="23"/>
      <c r="C11" s="25" t="s">
        <v>83</v>
      </c>
      <c r="D11" s="4"/>
      <c r="E11" s="4"/>
      <c r="F11" s="6"/>
    </row>
    <row r="12" ht="15.0" customHeight="1">
      <c r="B12" s="26"/>
      <c r="C12" s="25" t="s">
        <v>97</v>
      </c>
      <c r="D12" s="4"/>
      <c r="E12" s="4"/>
      <c r="F12" s="6"/>
    </row>
    <row r="13" ht="15.0" customHeight="1">
      <c r="B13" s="29"/>
      <c r="C13" s="25" t="s">
        <v>110</v>
      </c>
      <c r="D13" s="4"/>
      <c r="E13" s="4"/>
      <c r="F13" s="6"/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0:F10"/>
    <mergeCell ref="C11:F11"/>
    <mergeCell ref="C12:F12"/>
    <mergeCell ref="C13:F13"/>
    <mergeCell ref="B2:H2"/>
    <mergeCell ref="B3:H3"/>
    <mergeCell ref="C4:H4"/>
    <mergeCell ref="C5:H5"/>
    <mergeCell ref="C6:H6"/>
    <mergeCell ref="C7:H7"/>
    <mergeCell ref="C8:H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9.0"/>
    <col customWidth="1" min="3" max="3" width="22.0"/>
    <col customWidth="1" min="4" max="5" width="12.0"/>
    <col customWidth="1" min="6" max="6" width="42.0"/>
    <col customWidth="1" min="7" max="7" width="40.0"/>
    <col customWidth="1" min="8" max="8" width="30.0"/>
    <col customWidth="1" min="9" max="9" width="38.0"/>
    <col customWidth="1" min="10" max="10" width="16.0"/>
    <col customWidth="1" min="11" max="11" width="30.0"/>
    <col customWidth="1" min="12" max="12" width="18.29"/>
  </cols>
  <sheetData>
    <row r="1" ht="25.5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</row>
    <row r="2" ht="30.0" customHeight="1">
      <c r="A2" s="7" t="s">
        <v>7</v>
      </c>
      <c r="B2" s="7" t="s">
        <v>5</v>
      </c>
      <c r="C2" s="7" t="s">
        <v>8</v>
      </c>
      <c r="D2" s="7" t="s">
        <v>11</v>
      </c>
      <c r="E2" s="7" t="s">
        <v>14</v>
      </c>
      <c r="F2" s="7" t="s">
        <v>17</v>
      </c>
      <c r="G2" s="7" t="s">
        <v>19</v>
      </c>
      <c r="H2" s="7" t="s">
        <v>21</v>
      </c>
      <c r="I2" s="7" t="s">
        <v>23</v>
      </c>
      <c r="J2" s="7" t="s">
        <v>25</v>
      </c>
      <c r="K2" s="7" t="s">
        <v>27</v>
      </c>
      <c r="L2" s="7" t="s">
        <v>28</v>
      </c>
    </row>
    <row r="3" ht="45.0" customHeight="1">
      <c r="A3" s="11">
        <v>1.0</v>
      </c>
      <c r="B3" s="10" t="s">
        <v>24</v>
      </c>
      <c r="C3" s="10" t="s">
        <v>30</v>
      </c>
      <c r="D3" s="11" t="s">
        <v>32</v>
      </c>
      <c r="E3" s="11">
        <v>1.0</v>
      </c>
      <c r="F3" s="10" t="s">
        <v>34</v>
      </c>
      <c r="G3" s="10" t="s">
        <v>35</v>
      </c>
      <c r="H3" s="10" t="s">
        <v>36</v>
      </c>
      <c r="I3" s="10" t="s">
        <v>34</v>
      </c>
      <c r="J3" s="10" t="s">
        <v>37</v>
      </c>
      <c r="K3" s="15" t="s">
        <v>39</v>
      </c>
      <c r="L3" s="17" t="s">
        <v>12</v>
      </c>
    </row>
    <row r="4" ht="45.0" customHeight="1">
      <c r="A4" s="19">
        <v>2.0</v>
      </c>
      <c r="B4" s="18" t="s">
        <v>24</v>
      </c>
      <c r="C4" s="18" t="s">
        <v>30</v>
      </c>
      <c r="D4" s="19" t="s">
        <v>32</v>
      </c>
      <c r="E4" s="19">
        <v>2.0</v>
      </c>
      <c r="F4" s="18" t="s">
        <v>47</v>
      </c>
      <c r="G4" s="18" t="s">
        <v>49</v>
      </c>
      <c r="H4" s="18" t="s">
        <v>51</v>
      </c>
      <c r="I4" s="18" t="s">
        <v>47</v>
      </c>
      <c r="J4" s="18" t="s">
        <v>37</v>
      </c>
      <c r="K4" s="15" t="s">
        <v>39</v>
      </c>
      <c r="L4" s="17" t="s">
        <v>12</v>
      </c>
    </row>
    <row r="5" ht="45.0" customHeight="1">
      <c r="A5" s="11">
        <v>3.0</v>
      </c>
      <c r="B5" s="10" t="s">
        <v>24</v>
      </c>
      <c r="C5" s="10" t="s">
        <v>30</v>
      </c>
      <c r="D5" s="11" t="s">
        <v>32</v>
      </c>
      <c r="E5" s="11">
        <v>3.0</v>
      </c>
      <c r="F5" s="10" t="s">
        <v>53</v>
      </c>
      <c r="G5" s="10" t="s">
        <v>56</v>
      </c>
      <c r="H5" s="10" t="s">
        <v>58</v>
      </c>
      <c r="I5" s="10" t="s">
        <v>53</v>
      </c>
      <c r="J5" s="10" t="s">
        <v>37</v>
      </c>
      <c r="K5" s="15" t="s">
        <v>39</v>
      </c>
      <c r="L5" s="17" t="s">
        <v>12</v>
      </c>
    </row>
    <row r="6" ht="45.0" customHeight="1">
      <c r="A6" s="19">
        <v>4.0</v>
      </c>
      <c r="B6" s="18" t="s">
        <v>24</v>
      </c>
      <c r="C6" s="18" t="s">
        <v>30</v>
      </c>
      <c r="D6" s="19" t="s">
        <v>32</v>
      </c>
      <c r="E6" s="19">
        <v>4.0</v>
      </c>
      <c r="F6" s="18" t="s">
        <v>62</v>
      </c>
      <c r="G6" s="18" t="s">
        <v>64</v>
      </c>
      <c r="H6" s="18" t="s">
        <v>65</v>
      </c>
      <c r="I6" s="18" t="s">
        <v>62</v>
      </c>
      <c r="J6" s="18" t="s">
        <v>37</v>
      </c>
      <c r="K6" s="15" t="s">
        <v>39</v>
      </c>
      <c r="L6" s="17" t="s">
        <v>12</v>
      </c>
    </row>
    <row r="7" ht="43.5" customHeight="1">
      <c r="A7" s="11">
        <v>5.0</v>
      </c>
      <c r="B7" s="10" t="s">
        <v>24</v>
      </c>
      <c r="C7" s="10" t="s">
        <v>30</v>
      </c>
      <c r="D7" s="11" t="s">
        <v>32</v>
      </c>
      <c r="E7" s="11">
        <v>5.0</v>
      </c>
      <c r="F7" s="10" t="s">
        <v>71</v>
      </c>
      <c r="G7" s="10" t="s">
        <v>72</v>
      </c>
      <c r="H7" s="10" t="s">
        <v>73</v>
      </c>
      <c r="I7" s="10" t="s">
        <v>75</v>
      </c>
      <c r="J7" s="10" t="s">
        <v>37</v>
      </c>
      <c r="K7" s="22" t="s">
        <v>77</v>
      </c>
      <c r="L7" s="24" t="s">
        <v>18</v>
      </c>
    </row>
    <row r="8" ht="45.0" customHeight="1">
      <c r="A8" s="19">
        <v>6.0</v>
      </c>
      <c r="B8" s="18" t="s">
        <v>24</v>
      </c>
      <c r="C8" s="18" t="s">
        <v>30</v>
      </c>
      <c r="D8" s="19" t="s">
        <v>32</v>
      </c>
      <c r="E8" s="19">
        <v>6.0</v>
      </c>
      <c r="F8" s="18" t="s">
        <v>85</v>
      </c>
      <c r="G8" s="18" t="s">
        <v>87</v>
      </c>
      <c r="H8" s="18" t="s">
        <v>89</v>
      </c>
      <c r="I8" s="18" t="s">
        <v>90</v>
      </c>
      <c r="J8" s="18" t="s">
        <v>37</v>
      </c>
      <c r="K8" s="22" t="s">
        <v>77</v>
      </c>
      <c r="L8" s="24" t="s">
        <v>18</v>
      </c>
    </row>
    <row r="9" ht="43.5" customHeight="1">
      <c r="A9" s="11">
        <v>7.0</v>
      </c>
      <c r="B9" s="10" t="s">
        <v>24</v>
      </c>
      <c r="C9" s="10" t="s">
        <v>30</v>
      </c>
      <c r="D9" s="11" t="s">
        <v>32</v>
      </c>
      <c r="E9" s="11">
        <v>7.0</v>
      </c>
      <c r="F9" s="10" t="s">
        <v>96</v>
      </c>
      <c r="G9" s="10" t="s">
        <v>98</v>
      </c>
      <c r="H9" s="10" t="s">
        <v>99</v>
      </c>
      <c r="I9" s="10" t="s">
        <v>100</v>
      </c>
      <c r="J9" s="10" t="s">
        <v>37</v>
      </c>
      <c r="K9" s="22" t="s">
        <v>77</v>
      </c>
      <c r="L9" s="24" t="s">
        <v>18</v>
      </c>
    </row>
    <row r="10" ht="45.0" customHeight="1">
      <c r="A10" s="19">
        <v>8.0</v>
      </c>
      <c r="B10" s="18" t="s">
        <v>102</v>
      </c>
      <c r="C10" s="18" t="s">
        <v>103</v>
      </c>
      <c r="D10" s="19" t="s">
        <v>32</v>
      </c>
      <c r="E10" s="19">
        <v>1.0</v>
      </c>
      <c r="F10" s="18" t="s">
        <v>105</v>
      </c>
      <c r="G10" s="18" t="s">
        <v>106</v>
      </c>
      <c r="H10" s="18" t="s">
        <v>36</v>
      </c>
      <c r="I10" s="18" t="s">
        <v>105</v>
      </c>
      <c r="J10" s="18" t="s">
        <v>108</v>
      </c>
      <c r="K10" s="15" t="s">
        <v>39</v>
      </c>
      <c r="L10" s="17" t="s">
        <v>12</v>
      </c>
    </row>
    <row r="11" ht="45.0" customHeight="1">
      <c r="A11" s="11">
        <v>9.0</v>
      </c>
      <c r="B11" s="10" t="s">
        <v>102</v>
      </c>
      <c r="C11" s="10" t="s">
        <v>103</v>
      </c>
      <c r="D11" s="11" t="s">
        <v>32</v>
      </c>
      <c r="E11" s="11">
        <v>2.0</v>
      </c>
      <c r="F11" s="10" t="s">
        <v>113</v>
      </c>
      <c r="G11" s="10" t="s">
        <v>114</v>
      </c>
      <c r="H11" s="10" t="s">
        <v>36</v>
      </c>
      <c r="I11" s="10" t="s">
        <v>113</v>
      </c>
      <c r="J11" s="10" t="s">
        <v>108</v>
      </c>
      <c r="K11" s="15" t="s">
        <v>39</v>
      </c>
      <c r="L11" s="17" t="s">
        <v>12</v>
      </c>
    </row>
    <row r="12" ht="45.0" customHeight="1">
      <c r="A12" s="19">
        <v>10.0</v>
      </c>
      <c r="B12" s="18" t="s">
        <v>102</v>
      </c>
      <c r="C12" s="18" t="s">
        <v>103</v>
      </c>
      <c r="D12" s="19" t="s">
        <v>32</v>
      </c>
      <c r="E12" s="19">
        <v>3.0</v>
      </c>
      <c r="F12" s="18" t="s">
        <v>119</v>
      </c>
      <c r="G12" s="18" t="s">
        <v>120</v>
      </c>
      <c r="H12" s="18" t="s">
        <v>36</v>
      </c>
      <c r="I12" s="18" t="s">
        <v>119</v>
      </c>
      <c r="J12" s="18" t="s">
        <v>108</v>
      </c>
      <c r="K12" s="15" t="s">
        <v>39</v>
      </c>
      <c r="L12" s="17" t="s">
        <v>12</v>
      </c>
    </row>
    <row r="13" ht="57.75" customHeight="1">
      <c r="A13" s="11">
        <v>11.0</v>
      </c>
      <c r="B13" s="10" t="s">
        <v>102</v>
      </c>
      <c r="C13" s="10" t="s">
        <v>103</v>
      </c>
      <c r="D13" s="11" t="s">
        <v>32</v>
      </c>
      <c r="E13" s="11">
        <v>4.0</v>
      </c>
      <c r="F13" s="10" t="s">
        <v>125</v>
      </c>
      <c r="G13" s="10" t="s">
        <v>127</v>
      </c>
      <c r="H13" s="10" t="s">
        <v>36</v>
      </c>
      <c r="I13" s="10" t="s">
        <v>125</v>
      </c>
      <c r="J13" s="10" t="s">
        <v>108</v>
      </c>
      <c r="K13" s="15" t="s">
        <v>39</v>
      </c>
      <c r="L13" s="17" t="s">
        <v>12</v>
      </c>
    </row>
    <row r="14" ht="45.0" customHeight="1">
      <c r="A14" s="19">
        <v>12.0</v>
      </c>
      <c r="B14" s="18" t="s">
        <v>102</v>
      </c>
      <c r="C14" s="18" t="s">
        <v>103</v>
      </c>
      <c r="D14" s="19" t="s">
        <v>32</v>
      </c>
      <c r="E14" s="19">
        <v>5.0</v>
      </c>
      <c r="F14" s="18" t="s">
        <v>133</v>
      </c>
      <c r="G14" s="18" t="s">
        <v>135</v>
      </c>
      <c r="H14" s="18" t="s">
        <v>36</v>
      </c>
      <c r="I14" s="18" t="s">
        <v>133</v>
      </c>
      <c r="J14" s="18" t="s">
        <v>108</v>
      </c>
      <c r="K14" s="15" t="s">
        <v>39</v>
      </c>
      <c r="L14" s="17" t="s">
        <v>12</v>
      </c>
    </row>
    <row r="15" ht="57.75" customHeight="1">
      <c r="A15" s="11">
        <v>13.0</v>
      </c>
      <c r="B15" s="10" t="s">
        <v>102</v>
      </c>
      <c r="C15" s="10" t="s">
        <v>103</v>
      </c>
      <c r="D15" s="11" t="s">
        <v>32</v>
      </c>
      <c r="E15" s="11">
        <v>6.0</v>
      </c>
      <c r="F15" s="10" t="s">
        <v>140</v>
      </c>
      <c r="G15" s="10" t="s">
        <v>141</v>
      </c>
      <c r="H15" s="10" t="s">
        <v>36</v>
      </c>
      <c r="I15" s="10" t="s">
        <v>140</v>
      </c>
      <c r="J15" s="10" t="s">
        <v>108</v>
      </c>
      <c r="K15" s="15" t="s">
        <v>39</v>
      </c>
      <c r="L15" s="17" t="s">
        <v>12</v>
      </c>
    </row>
    <row r="16" ht="57.75" customHeight="1">
      <c r="A16" s="19">
        <v>14.0</v>
      </c>
      <c r="B16" s="18" t="s">
        <v>102</v>
      </c>
      <c r="C16" s="18" t="s">
        <v>103</v>
      </c>
      <c r="D16" s="19" t="s">
        <v>32</v>
      </c>
      <c r="E16" s="19">
        <v>7.0</v>
      </c>
      <c r="F16" s="18" t="s">
        <v>146</v>
      </c>
      <c r="G16" s="18" t="s">
        <v>148</v>
      </c>
      <c r="H16" s="18" t="s">
        <v>36</v>
      </c>
      <c r="I16" s="18" t="s">
        <v>146</v>
      </c>
      <c r="J16" s="18" t="s">
        <v>108</v>
      </c>
      <c r="K16" s="15" t="s">
        <v>39</v>
      </c>
      <c r="L16" s="17" t="s">
        <v>12</v>
      </c>
    </row>
    <row r="17" ht="57.75" customHeight="1">
      <c r="A17" s="11">
        <v>15.0</v>
      </c>
      <c r="B17" s="10" t="s">
        <v>152</v>
      </c>
      <c r="C17" s="10" t="s">
        <v>153</v>
      </c>
      <c r="D17" s="11" t="s">
        <v>32</v>
      </c>
      <c r="E17" s="11">
        <v>1.0</v>
      </c>
      <c r="F17" s="10" t="s">
        <v>156</v>
      </c>
      <c r="G17" s="10" t="s">
        <v>157</v>
      </c>
      <c r="H17" s="10" t="s">
        <v>36</v>
      </c>
      <c r="I17" s="10" t="s">
        <v>156</v>
      </c>
      <c r="J17" s="10" t="s">
        <v>37</v>
      </c>
      <c r="K17" s="15" t="s">
        <v>39</v>
      </c>
      <c r="L17" s="17" t="s">
        <v>12</v>
      </c>
    </row>
    <row r="18" ht="45.0" customHeight="1">
      <c r="A18" s="19">
        <v>16.0</v>
      </c>
      <c r="B18" s="18" t="s">
        <v>152</v>
      </c>
      <c r="C18" s="18" t="s">
        <v>153</v>
      </c>
      <c r="D18" s="19" t="s">
        <v>32</v>
      </c>
      <c r="E18" s="19">
        <v>2.0</v>
      </c>
      <c r="F18" s="18" t="s">
        <v>161</v>
      </c>
      <c r="G18" s="18" t="s">
        <v>162</v>
      </c>
      <c r="H18" s="18" t="s">
        <v>36</v>
      </c>
      <c r="I18" s="18" t="s">
        <v>161</v>
      </c>
      <c r="J18" s="18" t="s">
        <v>37</v>
      </c>
      <c r="K18" s="15" t="s">
        <v>39</v>
      </c>
      <c r="L18" s="17" t="s">
        <v>12</v>
      </c>
    </row>
    <row r="19" ht="45.0" customHeight="1">
      <c r="A19" s="11">
        <v>17.0</v>
      </c>
      <c r="B19" s="10" t="s">
        <v>152</v>
      </c>
      <c r="C19" s="10" t="s">
        <v>153</v>
      </c>
      <c r="D19" s="11" t="s">
        <v>32</v>
      </c>
      <c r="E19" s="11">
        <v>3.0</v>
      </c>
      <c r="F19" s="10" t="s">
        <v>163</v>
      </c>
      <c r="G19" s="10" t="s">
        <v>164</v>
      </c>
      <c r="H19" s="10" t="s">
        <v>36</v>
      </c>
      <c r="I19" s="10" t="s">
        <v>163</v>
      </c>
      <c r="J19" s="10" t="s">
        <v>37</v>
      </c>
      <c r="K19" s="15" t="s">
        <v>39</v>
      </c>
      <c r="L19" s="17" t="s">
        <v>12</v>
      </c>
    </row>
    <row r="20" ht="45.0" customHeight="1">
      <c r="A20" s="19">
        <v>18.0</v>
      </c>
      <c r="B20" s="18" t="s">
        <v>152</v>
      </c>
      <c r="C20" s="18" t="s">
        <v>153</v>
      </c>
      <c r="D20" s="19" t="s">
        <v>32</v>
      </c>
      <c r="E20" s="19">
        <v>4.0</v>
      </c>
      <c r="F20" s="18" t="s">
        <v>165</v>
      </c>
      <c r="G20" s="18" t="s">
        <v>166</v>
      </c>
      <c r="H20" s="18" t="s">
        <v>36</v>
      </c>
      <c r="I20" s="18" t="s">
        <v>165</v>
      </c>
      <c r="J20" s="18" t="s">
        <v>37</v>
      </c>
      <c r="K20" s="15" t="s">
        <v>39</v>
      </c>
      <c r="L20" s="17" t="s">
        <v>12</v>
      </c>
    </row>
    <row r="21" ht="45.0" customHeight="1">
      <c r="A21" s="11">
        <v>19.0</v>
      </c>
      <c r="B21" s="10" t="s">
        <v>152</v>
      </c>
      <c r="C21" s="10" t="s">
        <v>153</v>
      </c>
      <c r="D21" s="11" t="s">
        <v>32</v>
      </c>
      <c r="E21" s="11">
        <v>5.0</v>
      </c>
      <c r="F21" s="10" t="s">
        <v>167</v>
      </c>
      <c r="G21" s="10" t="s">
        <v>168</v>
      </c>
      <c r="H21" s="10" t="s">
        <v>36</v>
      </c>
      <c r="I21" s="10" t="s">
        <v>167</v>
      </c>
      <c r="J21" s="10" t="s">
        <v>37</v>
      </c>
      <c r="K21" s="15" t="s">
        <v>39</v>
      </c>
      <c r="L21" s="17" t="s">
        <v>12</v>
      </c>
    </row>
    <row r="22" ht="45.0" customHeight="1">
      <c r="A22" s="19">
        <v>20.0</v>
      </c>
      <c r="B22" s="18" t="s">
        <v>152</v>
      </c>
      <c r="C22" s="18" t="s">
        <v>153</v>
      </c>
      <c r="D22" s="19" t="s">
        <v>32</v>
      </c>
      <c r="E22" s="19">
        <v>6.0</v>
      </c>
      <c r="F22" s="18" t="s">
        <v>169</v>
      </c>
      <c r="G22" s="18" t="s">
        <v>170</v>
      </c>
      <c r="H22" s="18" t="s">
        <v>58</v>
      </c>
      <c r="I22" s="18" t="s">
        <v>169</v>
      </c>
      <c r="J22" s="18" t="s">
        <v>37</v>
      </c>
      <c r="K22" s="15" t="s">
        <v>39</v>
      </c>
      <c r="L22" s="17" t="s">
        <v>12</v>
      </c>
    </row>
    <row r="23" ht="57.75" customHeight="1">
      <c r="A23" s="11">
        <v>21.0</v>
      </c>
      <c r="B23" s="10" t="s">
        <v>152</v>
      </c>
      <c r="C23" s="10" t="s">
        <v>153</v>
      </c>
      <c r="D23" s="11" t="s">
        <v>32</v>
      </c>
      <c r="E23" s="11">
        <v>7.0</v>
      </c>
      <c r="F23" s="10" t="s">
        <v>171</v>
      </c>
      <c r="G23" s="10" t="s">
        <v>172</v>
      </c>
      <c r="H23" s="10" t="s">
        <v>36</v>
      </c>
      <c r="I23" s="10" t="s">
        <v>171</v>
      </c>
      <c r="J23" s="10" t="s">
        <v>37</v>
      </c>
      <c r="K23" s="15" t="s">
        <v>39</v>
      </c>
      <c r="L23" s="17" t="s">
        <v>12</v>
      </c>
    </row>
    <row r="24" ht="45.0" customHeight="1">
      <c r="A24" s="19">
        <v>22.0</v>
      </c>
      <c r="B24" s="18" t="s">
        <v>152</v>
      </c>
      <c r="C24" s="18" t="s">
        <v>153</v>
      </c>
      <c r="D24" s="19" t="s">
        <v>32</v>
      </c>
      <c r="E24" s="19">
        <v>8.0</v>
      </c>
      <c r="F24" s="18" t="s">
        <v>175</v>
      </c>
      <c r="G24" s="18" t="s">
        <v>176</v>
      </c>
      <c r="H24" s="18" t="s">
        <v>177</v>
      </c>
      <c r="I24" s="18" t="s">
        <v>178</v>
      </c>
      <c r="J24" s="18" t="s">
        <v>37</v>
      </c>
      <c r="K24" s="22" t="s">
        <v>77</v>
      </c>
      <c r="L24" s="24" t="s">
        <v>18</v>
      </c>
    </row>
    <row r="25" ht="45.0" customHeight="1">
      <c r="A25" s="11">
        <v>23.0</v>
      </c>
      <c r="B25" s="10" t="s">
        <v>152</v>
      </c>
      <c r="C25" s="10" t="s">
        <v>153</v>
      </c>
      <c r="D25" s="11" t="s">
        <v>32</v>
      </c>
      <c r="E25" s="11">
        <v>9.0</v>
      </c>
      <c r="F25" s="10" t="s">
        <v>179</v>
      </c>
      <c r="G25" s="10" t="s">
        <v>180</v>
      </c>
      <c r="H25" s="10" t="s">
        <v>181</v>
      </c>
      <c r="I25" s="10" t="s">
        <v>182</v>
      </c>
      <c r="J25" s="10" t="s">
        <v>37</v>
      </c>
      <c r="K25" s="22" t="s">
        <v>77</v>
      </c>
      <c r="L25" s="24" t="s">
        <v>18</v>
      </c>
    </row>
    <row r="26" ht="45.0" customHeight="1">
      <c r="A26" s="19">
        <v>24.0</v>
      </c>
      <c r="B26" s="18" t="s">
        <v>152</v>
      </c>
      <c r="C26" s="18" t="s">
        <v>153</v>
      </c>
      <c r="D26" s="19" t="s">
        <v>32</v>
      </c>
      <c r="E26" s="19">
        <v>10.0</v>
      </c>
      <c r="F26" s="18" t="s">
        <v>183</v>
      </c>
      <c r="G26" s="18" t="s">
        <v>184</v>
      </c>
      <c r="H26" s="18" t="s">
        <v>185</v>
      </c>
      <c r="I26" s="18" t="s">
        <v>186</v>
      </c>
      <c r="J26" s="18" t="s">
        <v>37</v>
      </c>
      <c r="K26" s="22" t="s">
        <v>77</v>
      </c>
      <c r="L26" s="24" t="s">
        <v>18</v>
      </c>
    </row>
    <row r="27" ht="45.0" customHeight="1">
      <c r="A27" s="11">
        <v>25.0</v>
      </c>
      <c r="B27" s="10" t="s">
        <v>152</v>
      </c>
      <c r="C27" s="10" t="s">
        <v>153</v>
      </c>
      <c r="D27" s="11" t="s">
        <v>32</v>
      </c>
      <c r="E27" s="11">
        <v>11.0</v>
      </c>
      <c r="F27" s="10" t="s">
        <v>187</v>
      </c>
      <c r="G27" s="10" t="s">
        <v>188</v>
      </c>
      <c r="H27" s="10" t="s">
        <v>189</v>
      </c>
      <c r="I27" s="10" t="s">
        <v>190</v>
      </c>
      <c r="J27" s="10" t="s">
        <v>37</v>
      </c>
      <c r="K27" s="22" t="s">
        <v>77</v>
      </c>
      <c r="L27" s="24" t="s">
        <v>18</v>
      </c>
    </row>
    <row r="28" ht="45.0" customHeight="1">
      <c r="A28" s="19">
        <v>26.0</v>
      </c>
      <c r="B28" s="18" t="s">
        <v>152</v>
      </c>
      <c r="C28" s="18" t="s">
        <v>153</v>
      </c>
      <c r="D28" s="19" t="s">
        <v>32</v>
      </c>
      <c r="E28" s="19">
        <v>12.0</v>
      </c>
      <c r="F28" s="18" t="s">
        <v>191</v>
      </c>
      <c r="G28" s="18" t="s">
        <v>192</v>
      </c>
      <c r="H28" s="18" t="s">
        <v>193</v>
      </c>
      <c r="I28" s="18" t="s">
        <v>194</v>
      </c>
      <c r="J28" s="18" t="s">
        <v>37</v>
      </c>
      <c r="K28" s="22" t="s">
        <v>77</v>
      </c>
      <c r="L28" s="24" t="s">
        <v>18</v>
      </c>
    </row>
    <row r="29" ht="45.0" customHeight="1">
      <c r="A29" s="11">
        <v>27.0</v>
      </c>
      <c r="B29" s="10" t="s">
        <v>173</v>
      </c>
      <c r="C29" s="10" t="s">
        <v>174</v>
      </c>
      <c r="D29" s="11" t="s">
        <v>195</v>
      </c>
      <c r="E29" s="11">
        <v>1.0</v>
      </c>
      <c r="F29" s="10" t="s">
        <v>196</v>
      </c>
      <c r="G29" s="10" t="s">
        <v>197</v>
      </c>
      <c r="H29" s="10" t="s">
        <v>51</v>
      </c>
      <c r="I29" s="10" t="s">
        <v>196</v>
      </c>
      <c r="J29" s="10" t="s">
        <v>37</v>
      </c>
      <c r="K29" s="15" t="s">
        <v>39</v>
      </c>
      <c r="L29" s="17" t="s">
        <v>12</v>
      </c>
    </row>
    <row r="30" ht="45.0" customHeight="1">
      <c r="A30" s="19">
        <v>28.0</v>
      </c>
      <c r="B30" s="18" t="s">
        <v>173</v>
      </c>
      <c r="C30" s="18" t="s">
        <v>174</v>
      </c>
      <c r="D30" s="19" t="s">
        <v>195</v>
      </c>
      <c r="E30" s="19">
        <v>2.0</v>
      </c>
      <c r="F30" s="18" t="s">
        <v>200</v>
      </c>
      <c r="G30" s="18" t="s">
        <v>201</v>
      </c>
      <c r="H30" s="18" t="s">
        <v>202</v>
      </c>
      <c r="I30" s="18" t="s">
        <v>200</v>
      </c>
      <c r="J30" s="18" t="s">
        <v>37</v>
      </c>
      <c r="K30" s="15" t="s">
        <v>39</v>
      </c>
      <c r="L30" s="17" t="s">
        <v>12</v>
      </c>
    </row>
    <row r="31" ht="45.0" customHeight="1">
      <c r="A31" s="11">
        <v>29.0</v>
      </c>
      <c r="B31" s="10" t="s">
        <v>173</v>
      </c>
      <c r="C31" s="10" t="s">
        <v>174</v>
      </c>
      <c r="D31" s="11" t="s">
        <v>195</v>
      </c>
      <c r="E31" s="11">
        <v>3.0</v>
      </c>
      <c r="F31" s="10" t="s">
        <v>203</v>
      </c>
      <c r="G31" s="10" t="s">
        <v>204</v>
      </c>
      <c r="H31" s="10" t="s">
        <v>36</v>
      </c>
      <c r="I31" s="10" t="s">
        <v>203</v>
      </c>
      <c r="J31" s="10" t="s">
        <v>37</v>
      </c>
      <c r="K31" s="15" t="s">
        <v>39</v>
      </c>
      <c r="L31" s="17" t="s">
        <v>12</v>
      </c>
    </row>
    <row r="32" ht="45.0" customHeight="1">
      <c r="A32" s="19">
        <v>30.0</v>
      </c>
      <c r="B32" s="18" t="s">
        <v>173</v>
      </c>
      <c r="C32" s="18" t="s">
        <v>174</v>
      </c>
      <c r="D32" s="19" t="s">
        <v>195</v>
      </c>
      <c r="E32" s="19">
        <v>4.0</v>
      </c>
      <c r="F32" s="18" t="s">
        <v>205</v>
      </c>
      <c r="G32" s="18" t="s">
        <v>206</v>
      </c>
      <c r="H32" s="18" t="s">
        <v>36</v>
      </c>
      <c r="I32" s="18" t="s">
        <v>205</v>
      </c>
      <c r="J32" s="18" t="s">
        <v>37</v>
      </c>
      <c r="K32" s="15" t="s">
        <v>39</v>
      </c>
      <c r="L32" s="17" t="s">
        <v>12</v>
      </c>
    </row>
    <row r="33" ht="45.0" customHeight="1">
      <c r="A33" s="11">
        <v>31.0</v>
      </c>
      <c r="B33" s="10" t="s">
        <v>173</v>
      </c>
      <c r="C33" s="10" t="s">
        <v>174</v>
      </c>
      <c r="D33" s="11" t="s">
        <v>195</v>
      </c>
      <c r="E33" s="11">
        <v>5.0</v>
      </c>
      <c r="F33" s="10" t="s">
        <v>207</v>
      </c>
      <c r="G33" s="10" t="s">
        <v>208</v>
      </c>
      <c r="H33" s="10" t="s">
        <v>65</v>
      </c>
      <c r="I33" s="10" t="s">
        <v>207</v>
      </c>
      <c r="J33" s="10" t="s">
        <v>37</v>
      </c>
      <c r="K33" s="15" t="s">
        <v>39</v>
      </c>
      <c r="L33" s="17" t="s">
        <v>12</v>
      </c>
    </row>
    <row r="34" ht="43.5" customHeight="1">
      <c r="A34" s="19">
        <v>32.0</v>
      </c>
      <c r="B34" s="18" t="s">
        <v>173</v>
      </c>
      <c r="C34" s="18" t="s">
        <v>174</v>
      </c>
      <c r="D34" s="19" t="s">
        <v>195</v>
      </c>
      <c r="E34" s="19">
        <v>6.0</v>
      </c>
      <c r="F34" s="18" t="s">
        <v>209</v>
      </c>
      <c r="G34" s="18" t="s">
        <v>210</v>
      </c>
      <c r="H34" s="18" t="s">
        <v>211</v>
      </c>
      <c r="I34" s="18" t="s">
        <v>212</v>
      </c>
      <c r="J34" s="18" t="s">
        <v>37</v>
      </c>
      <c r="K34" s="22" t="s">
        <v>77</v>
      </c>
      <c r="L34" s="24" t="s">
        <v>18</v>
      </c>
    </row>
    <row r="35" ht="43.5" customHeight="1">
      <c r="A35" s="11">
        <v>33.0</v>
      </c>
      <c r="B35" s="10" t="s">
        <v>173</v>
      </c>
      <c r="C35" s="10" t="s">
        <v>174</v>
      </c>
      <c r="D35" s="11" t="s">
        <v>195</v>
      </c>
      <c r="E35" s="11">
        <v>7.0</v>
      </c>
      <c r="F35" s="10" t="s">
        <v>215</v>
      </c>
      <c r="G35" s="10" t="s">
        <v>216</v>
      </c>
      <c r="H35" s="10" t="s">
        <v>99</v>
      </c>
      <c r="I35" s="10" t="s">
        <v>217</v>
      </c>
      <c r="J35" s="10" t="s">
        <v>37</v>
      </c>
      <c r="K35" s="22" t="s">
        <v>77</v>
      </c>
      <c r="L35" s="24" t="s">
        <v>18</v>
      </c>
    </row>
    <row r="36" ht="57.75" customHeight="1">
      <c r="A36" s="19">
        <v>34.0</v>
      </c>
      <c r="B36" s="18" t="s">
        <v>198</v>
      </c>
      <c r="C36" s="18" t="s">
        <v>199</v>
      </c>
      <c r="D36" s="19" t="s">
        <v>195</v>
      </c>
      <c r="E36" s="19">
        <v>1.0</v>
      </c>
      <c r="F36" s="18" t="s">
        <v>156</v>
      </c>
      <c r="G36" s="18" t="s">
        <v>157</v>
      </c>
      <c r="H36" s="18" t="s">
        <v>36</v>
      </c>
      <c r="I36" s="18" t="s">
        <v>156</v>
      </c>
      <c r="J36" s="18" t="s">
        <v>218</v>
      </c>
      <c r="K36" s="15" t="s">
        <v>39</v>
      </c>
      <c r="L36" s="17" t="s">
        <v>12</v>
      </c>
    </row>
    <row r="37" ht="45.0" customHeight="1">
      <c r="A37" s="11">
        <v>35.0</v>
      </c>
      <c r="B37" s="10" t="s">
        <v>198</v>
      </c>
      <c r="C37" s="10" t="s">
        <v>199</v>
      </c>
      <c r="D37" s="11" t="s">
        <v>195</v>
      </c>
      <c r="E37" s="11">
        <v>2.0</v>
      </c>
      <c r="F37" s="10" t="s">
        <v>161</v>
      </c>
      <c r="G37" s="10" t="s">
        <v>162</v>
      </c>
      <c r="H37" s="10" t="s">
        <v>36</v>
      </c>
      <c r="I37" s="10" t="s">
        <v>161</v>
      </c>
      <c r="J37" s="10" t="s">
        <v>218</v>
      </c>
      <c r="K37" s="15" t="s">
        <v>39</v>
      </c>
      <c r="L37" s="17" t="s">
        <v>12</v>
      </c>
    </row>
    <row r="38" ht="45.0" customHeight="1">
      <c r="A38" s="19">
        <v>36.0</v>
      </c>
      <c r="B38" s="18" t="s">
        <v>198</v>
      </c>
      <c r="C38" s="18" t="s">
        <v>199</v>
      </c>
      <c r="D38" s="19" t="s">
        <v>195</v>
      </c>
      <c r="E38" s="19">
        <v>3.0</v>
      </c>
      <c r="F38" s="18" t="s">
        <v>163</v>
      </c>
      <c r="G38" s="18" t="s">
        <v>164</v>
      </c>
      <c r="H38" s="18" t="s">
        <v>36</v>
      </c>
      <c r="I38" s="18" t="s">
        <v>163</v>
      </c>
      <c r="J38" s="18" t="s">
        <v>218</v>
      </c>
      <c r="K38" s="15" t="s">
        <v>39</v>
      </c>
      <c r="L38" s="17" t="s">
        <v>12</v>
      </c>
    </row>
    <row r="39" ht="45.0" customHeight="1">
      <c r="A39" s="11">
        <v>37.0</v>
      </c>
      <c r="B39" s="10" t="s">
        <v>198</v>
      </c>
      <c r="C39" s="10" t="s">
        <v>199</v>
      </c>
      <c r="D39" s="11" t="s">
        <v>195</v>
      </c>
      <c r="E39" s="11">
        <v>4.0</v>
      </c>
      <c r="F39" s="10" t="s">
        <v>165</v>
      </c>
      <c r="G39" s="10" t="s">
        <v>166</v>
      </c>
      <c r="H39" s="10" t="s">
        <v>36</v>
      </c>
      <c r="I39" s="10" t="s">
        <v>165</v>
      </c>
      <c r="J39" s="10" t="s">
        <v>218</v>
      </c>
      <c r="K39" s="15" t="s">
        <v>39</v>
      </c>
      <c r="L39" s="17" t="s">
        <v>12</v>
      </c>
    </row>
    <row r="40" ht="45.0" customHeight="1">
      <c r="A40" s="19">
        <v>38.0</v>
      </c>
      <c r="B40" s="18" t="s">
        <v>198</v>
      </c>
      <c r="C40" s="18" t="s">
        <v>199</v>
      </c>
      <c r="D40" s="19" t="s">
        <v>195</v>
      </c>
      <c r="E40" s="19">
        <v>5.0</v>
      </c>
      <c r="F40" s="18" t="s">
        <v>167</v>
      </c>
      <c r="G40" s="18" t="s">
        <v>168</v>
      </c>
      <c r="H40" s="18" t="s">
        <v>36</v>
      </c>
      <c r="I40" s="18" t="s">
        <v>167</v>
      </c>
      <c r="J40" s="18" t="s">
        <v>218</v>
      </c>
      <c r="K40" s="15" t="s">
        <v>39</v>
      </c>
      <c r="L40" s="17" t="s">
        <v>12</v>
      </c>
    </row>
    <row r="41" ht="45.0" customHeight="1">
      <c r="A41" s="11">
        <v>39.0</v>
      </c>
      <c r="B41" s="10" t="s">
        <v>198</v>
      </c>
      <c r="C41" s="10" t="s">
        <v>199</v>
      </c>
      <c r="D41" s="11" t="s">
        <v>195</v>
      </c>
      <c r="E41" s="11">
        <v>6.0</v>
      </c>
      <c r="F41" s="10" t="s">
        <v>169</v>
      </c>
      <c r="G41" s="10" t="s">
        <v>170</v>
      </c>
      <c r="H41" s="10" t="s">
        <v>58</v>
      </c>
      <c r="I41" s="10" t="s">
        <v>169</v>
      </c>
      <c r="J41" s="10" t="s">
        <v>218</v>
      </c>
      <c r="K41" s="15" t="s">
        <v>39</v>
      </c>
      <c r="L41" s="17" t="s">
        <v>12</v>
      </c>
    </row>
    <row r="42" ht="57.75" customHeight="1">
      <c r="A42" s="19">
        <v>40.0</v>
      </c>
      <c r="B42" s="18" t="s">
        <v>198</v>
      </c>
      <c r="C42" s="18" t="s">
        <v>199</v>
      </c>
      <c r="D42" s="19" t="s">
        <v>195</v>
      </c>
      <c r="E42" s="19">
        <v>7.0</v>
      </c>
      <c r="F42" s="18" t="s">
        <v>221</v>
      </c>
      <c r="G42" s="18" t="s">
        <v>222</v>
      </c>
      <c r="H42" s="18" t="s">
        <v>36</v>
      </c>
      <c r="I42" s="18" t="s">
        <v>221</v>
      </c>
      <c r="J42" s="18" t="s">
        <v>218</v>
      </c>
      <c r="K42" s="15" t="s">
        <v>39</v>
      </c>
      <c r="L42" s="17" t="s">
        <v>12</v>
      </c>
    </row>
    <row r="43" ht="43.5" customHeight="1">
      <c r="A43" s="11">
        <v>41.0</v>
      </c>
      <c r="B43" s="10" t="s">
        <v>198</v>
      </c>
      <c r="C43" s="10" t="s">
        <v>199</v>
      </c>
      <c r="D43" s="11" t="s">
        <v>195</v>
      </c>
      <c r="E43" s="11">
        <v>8.0</v>
      </c>
      <c r="F43" s="10" t="s">
        <v>223</v>
      </c>
      <c r="G43" s="10" t="s">
        <v>224</v>
      </c>
      <c r="H43" s="10" t="s">
        <v>225</v>
      </c>
      <c r="I43" s="10" t="s">
        <v>226</v>
      </c>
      <c r="J43" s="10" t="s">
        <v>218</v>
      </c>
      <c r="K43" s="22" t="s">
        <v>77</v>
      </c>
      <c r="L43" s="24" t="s">
        <v>18</v>
      </c>
    </row>
    <row r="44" ht="43.5" customHeight="1">
      <c r="A44" s="19">
        <v>42.0</v>
      </c>
      <c r="B44" s="18" t="s">
        <v>198</v>
      </c>
      <c r="C44" s="18" t="s">
        <v>199</v>
      </c>
      <c r="D44" s="19" t="s">
        <v>195</v>
      </c>
      <c r="E44" s="19">
        <v>9.0</v>
      </c>
      <c r="F44" s="18" t="s">
        <v>227</v>
      </c>
      <c r="G44" s="18" t="s">
        <v>228</v>
      </c>
      <c r="H44" s="18" t="s">
        <v>202</v>
      </c>
      <c r="I44" s="18" t="s">
        <v>229</v>
      </c>
      <c r="J44" s="18" t="s">
        <v>218</v>
      </c>
      <c r="K44" s="22" t="s">
        <v>77</v>
      </c>
      <c r="L44" s="24" t="s">
        <v>18</v>
      </c>
    </row>
    <row r="45" ht="45.0" customHeight="1">
      <c r="A45" s="11">
        <v>43.0</v>
      </c>
      <c r="B45" s="10" t="s">
        <v>198</v>
      </c>
      <c r="C45" s="10" t="s">
        <v>199</v>
      </c>
      <c r="D45" s="11" t="s">
        <v>195</v>
      </c>
      <c r="E45" s="11">
        <v>10.0</v>
      </c>
      <c r="F45" s="10" t="s">
        <v>230</v>
      </c>
      <c r="G45" s="10" t="s">
        <v>231</v>
      </c>
      <c r="H45" s="10" t="s">
        <v>232</v>
      </c>
      <c r="I45" s="10" t="s">
        <v>233</v>
      </c>
      <c r="J45" s="10" t="s">
        <v>218</v>
      </c>
      <c r="K45" s="22" t="s">
        <v>234</v>
      </c>
      <c r="L45" s="24" t="s">
        <v>18</v>
      </c>
    </row>
    <row r="46" ht="45.0" customHeight="1">
      <c r="A46" s="19">
        <v>44.0</v>
      </c>
      <c r="B46" s="18" t="s">
        <v>198</v>
      </c>
      <c r="C46" s="18" t="s">
        <v>199</v>
      </c>
      <c r="D46" s="19" t="s">
        <v>195</v>
      </c>
      <c r="E46" s="19">
        <v>11.0</v>
      </c>
      <c r="F46" s="18" t="s">
        <v>235</v>
      </c>
      <c r="G46" s="18" t="s">
        <v>236</v>
      </c>
      <c r="H46" s="18" t="s">
        <v>237</v>
      </c>
      <c r="I46" s="18" t="s">
        <v>238</v>
      </c>
      <c r="J46" s="18" t="s">
        <v>218</v>
      </c>
      <c r="K46" s="22" t="s">
        <v>234</v>
      </c>
      <c r="L46" s="24" t="s">
        <v>18</v>
      </c>
    </row>
    <row r="47" ht="45.0" customHeight="1">
      <c r="A47" s="11">
        <v>45.0</v>
      </c>
      <c r="B47" s="10" t="s">
        <v>213</v>
      </c>
      <c r="C47" s="10" t="s">
        <v>214</v>
      </c>
      <c r="D47" s="11" t="s">
        <v>195</v>
      </c>
      <c r="E47" s="11">
        <v>1.0</v>
      </c>
      <c r="F47" s="10" t="s">
        <v>241</v>
      </c>
      <c r="G47" s="10" t="s">
        <v>242</v>
      </c>
      <c r="H47" s="10" t="s">
        <v>36</v>
      </c>
      <c r="I47" s="10" t="s">
        <v>241</v>
      </c>
      <c r="J47" s="10" t="s">
        <v>108</v>
      </c>
      <c r="K47" s="15" t="s">
        <v>39</v>
      </c>
      <c r="L47" s="17" t="s">
        <v>12</v>
      </c>
    </row>
    <row r="48" ht="45.0" customHeight="1">
      <c r="A48" s="19">
        <v>46.0</v>
      </c>
      <c r="B48" s="18" t="s">
        <v>213</v>
      </c>
      <c r="C48" s="18" t="s">
        <v>214</v>
      </c>
      <c r="D48" s="19" t="s">
        <v>195</v>
      </c>
      <c r="E48" s="19">
        <v>2.0</v>
      </c>
      <c r="F48" s="18" t="s">
        <v>243</v>
      </c>
      <c r="G48" s="18" t="s">
        <v>244</v>
      </c>
      <c r="H48" s="18" t="s">
        <v>36</v>
      </c>
      <c r="I48" s="18" t="s">
        <v>243</v>
      </c>
      <c r="J48" s="18" t="s">
        <v>108</v>
      </c>
      <c r="K48" s="15" t="s">
        <v>39</v>
      </c>
      <c r="L48" s="17" t="s">
        <v>12</v>
      </c>
    </row>
    <row r="49" ht="45.0" customHeight="1">
      <c r="A49" s="11">
        <v>47.0</v>
      </c>
      <c r="B49" s="10" t="s">
        <v>213</v>
      </c>
      <c r="C49" s="10" t="s">
        <v>214</v>
      </c>
      <c r="D49" s="11" t="s">
        <v>195</v>
      </c>
      <c r="E49" s="11">
        <v>3.0</v>
      </c>
      <c r="F49" s="10" t="s">
        <v>245</v>
      </c>
      <c r="G49" s="10" t="s">
        <v>246</v>
      </c>
      <c r="H49" s="10" t="s">
        <v>36</v>
      </c>
      <c r="I49" s="10" t="s">
        <v>245</v>
      </c>
      <c r="J49" s="10" t="s">
        <v>108</v>
      </c>
      <c r="K49" s="15" t="s">
        <v>39</v>
      </c>
      <c r="L49" s="17" t="s">
        <v>12</v>
      </c>
    </row>
    <row r="50" ht="45.0" customHeight="1">
      <c r="A50" s="19">
        <v>48.0</v>
      </c>
      <c r="B50" s="18" t="s">
        <v>213</v>
      </c>
      <c r="C50" s="18" t="s">
        <v>214</v>
      </c>
      <c r="D50" s="19" t="s">
        <v>195</v>
      </c>
      <c r="E50" s="19">
        <v>4.0</v>
      </c>
      <c r="F50" s="18" t="s">
        <v>247</v>
      </c>
      <c r="G50" s="18" t="s">
        <v>248</v>
      </c>
      <c r="H50" s="18" t="s">
        <v>36</v>
      </c>
      <c r="I50" s="18" t="s">
        <v>247</v>
      </c>
      <c r="J50" s="18" t="s">
        <v>108</v>
      </c>
      <c r="K50" s="15" t="s">
        <v>39</v>
      </c>
      <c r="L50" s="17" t="s">
        <v>12</v>
      </c>
    </row>
    <row r="51" ht="45.0" customHeight="1">
      <c r="A51" s="11">
        <v>49.0</v>
      </c>
      <c r="B51" s="10" t="s">
        <v>213</v>
      </c>
      <c r="C51" s="10" t="s">
        <v>214</v>
      </c>
      <c r="D51" s="11" t="s">
        <v>195</v>
      </c>
      <c r="E51" s="11">
        <v>5.0</v>
      </c>
      <c r="F51" s="10" t="s">
        <v>249</v>
      </c>
      <c r="G51" s="10" t="s">
        <v>250</v>
      </c>
      <c r="H51" s="10" t="s">
        <v>251</v>
      </c>
      <c r="I51" s="10" t="s">
        <v>252</v>
      </c>
      <c r="J51" s="10" t="s">
        <v>108</v>
      </c>
      <c r="K51" s="22" t="s">
        <v>77</v>
      </c>
      <c r="L51" s="24" t="s">
        <v>18</v>
      </c>
    </row>
    <row r="52" ht="45.0" customHeight="1">
      <c r="A52" s="19">
        <v>50.0</v>
      </c>
      <c r="B52" s="18" t="s">
        <v>213</v>
      </c>
      <c r="C52" s="18" t="s">
        <v>214</v>
      </c>
      <c r="D52" s="19" t="s">
        <v>195</v>
      </c>
      <c r="E52" s="19">
        <v>6.0</v>
      </c>
      <c r="F52" s="18" t="s">
        <v>253</v>
      </c>
      <c r="G52" s="18" t="s">
        <v>254</v>
      </c>
      <c r="H52" s="18" t="s">
        <v>251</v>
      </c>
      <c r="I52" s="18" t="s">
        <v>255</v>
      </c>
      <c r="J52" s="18" t="s">
        <v>108</v>
      </c>
      <c r="K52" s="22" t="s">
        <v>77</v>
      </c>
      <c r="L52" s="24" t="s">
        <v>18</v>
      </c>
    </row>
    <row r="53" ht="45.0" customHeight="1">
      <c r="A53" s="11">
        <v>51.0</v>
      </c>
      <c r="B53" s="10" t="s">
        <v>219</v>
      </c>
      <c r="C53" s="10" t="s">
        <v>220</v>
      </c>
      <c r="D53" s="11" t="s">
        <v>195</v>
      </c>
      <c r="E53" s="11">
        <v>1.0</v>
      </c>
      <c r="F53" s="10" t="s">
        <v>258</v>
      </c>
      <c r="G53" s="10" t="s">
        <v>259</v>
      </c>
      <c r="H53" s="10" t="s">
        <v>36</v>
      </c>
      <c r="I53" s="10" t="s">
        <v>258</v>
      </c>
      <c r="J53" s="10" t="s">
        <v>108</v>
      </c>
      <c r="K53" s="15" t="s">
        <v>39</v>
      </c>
      <c r="L53" s="17" t="s">
        <v>12</v>
      </c>
    </row>
    <row r="54" ht="45.0" customHeight="1">
      <c r="A54" s="19">
        <v>52.0</v>
      </c>
      <c r="B54" s="18" t="s">
        <v>219</v>
      </c>
      <c r="C54" s="18" t="s">
        <v>220</v>
      </c>
      <c r="D54" s="19" t="s">
        <v>195</v>
      </c>
      <c r="E54" s="19">
        <v>2.0</v>
      </c>
      <c r="F54" s="18" t="s">
        <v>260</v>
      </c>
      <c r="G54" s="18" t="s">
        <v>261</v>
      </c>
      <c r="H54" s="18" t="s">
        <v>36</v>
      </c>
      <c r="I54" s="18" t="s">
        <v>260</v>
      </c>
      <c r="J54" s="18" t="s">
        <v>108</v>
      </c>
      <c r="K54" s="15" t="s">
        <v>39</v>
      </c>
      <c r="L54" s="17" t="s">
        <v>12</v>
      </c>
    </row>
    <row r="55" ht="45.0" customHeight="1">
      <c r="A55" s="11">
        <v>53.0</v>
      </c>
      <c r="B55" s="10" t="s">
        <v>219</v>
      </c>
      <c r="C55" s="10" t="s">
        <v>220</v>
      </c>
      <c r="D55" s="11" t="s">
        <v>195</v>
      </c>
      <c r="E55" s="11">
        <v>3.0</v>
      </c>
      <c r="F55" s="10" t="s">
        <v>262</v>
      </c>
      <c r="G55" s="10" t="s">
        <v>263</v>
      </c>
      <c r="H55" s="10" t="s">
        <v>264</v>
      </c>
      <c r="I55" s="10" t="s">
        <v>265</v>
      </c>
      <c r="J55" s="10" t="s">
        <v>266</v>
      </c>
      <c r="K55" s="22" t="s">
        <v>77</v>
      </c>
      <c r="L55" s="24" t="s">
        <v>18</v>
      </c>
    </row>
    <row r="56" ht="45.0" customHeight="1">
      <c r="A56" s="19">
        <v>54.0</v>
      </c>
      <c r="B56" s="18" t="s">
        <v>219</v>
      </c>
      <c r="C56" s="18" t="s">
        <v>220</v>
      </c>
      <c r="D56" s="19" t="s">
        <v>195</v>
      </c>
      <c r="E56" s="19">
        <v>4.0</v>
      </c>
      <c r="F56" s="18" t="s">
        <v>267</v>
      </c>
      <c r="G56" s="18" t="s">
        <v>268</v>
      </c>
      <c r="H56" s="18" t="s">
        <v>269</v>
      </c>
      <c r="I56" s="18" t="s">
        <v>270</v>
      </c>
      <c r="J56" s="18" t="s">
        <v>266</v>
      </c>
      <c r="K56" s="22" t="s">
        <v>77</v>
      </c>
      <c r="L56" s="24" t="s">
        <v>18</v>
      </c>
    </row>
    <row r="57" ht="45.0" customHeight="1">
      <c r="A57" s="11">
        <v>55.0</v>
      </c>
      <c r="B57" s="10" t="s">
        <v>219</v>
      </c>
      <c r="C57" s="10" t="s">
        <v>220</v>
      </c>
      <c r="D57" s="11" t="s">
        <v>195</v>
      </c>
      <c r="E57" s="11">
        <v>5.0</v>
      </c>
      <c r="F57" s="10" t="s">
        <v>271</v>
      </c>
      <c r="G57" s="10" t="s">
        <v>272</v>
      </c>
      <c r="H57" s="10" t="s">
        <v>273</v>
      </c>
      <c r="I57" s="10" t="s">
        <v>274</v>
      </c>
      <c r="J57" s="10" t="s">
        <v>266</v>
      </c>
      <c r="K57" s="22" t="s">
        <v>77</v>
      </c>
      <c r="L57" s="24" t="s">
        <v>18</v>
      </c>
    </row>
    <row r="58" ht="45.0" customHeight="1">
      <c r="A58" s="19">
        <v>56.0</v>
      </c>
      <c r="B58" s="18" t="s">
        <v>239</v>
      </c>
      <c r="C58" s="18" t="s">
        <v>240</v>
      </c>
      <c r="D58" s="19" t="s">
        <v>195</v>
      </c>
      <c r="E58" s="19">
        <v>1.0</v>
      </c>
      <c r="F58" s="18" t="s">
        <v>275</v>
      </c>
      <c r="G58" s="18" t="s">
        <v>276</v>
      </c>
      <c r="H58" s="18" t="s">
        <v>36</v>
      </c>
      <c r="I58" s="18" t="s">
        <v>275</v>
      </c>
      <c r="J58" s="18" t="s">
        <v>266</v>
      </c>
      <c r="K58" s="15" t="s">
        <v>39</v>
      </c>
      <c r="L58" s="17" t="s">
        <v>12</v>
      </c>
    </row>
    <row r="59" ht="45.0" customHeight="1">
      <c r="A59" s="11">
        <v>57.0</v>
      </c>
      <c r="B59" s="10" t="s">
        <v>239</v>
      </c>
      <c r="C59" s="10" t="s">
        <v>240</v>
      </c>
      <c r="D59" s="11" t="s">
        <v>195</v>
      </c>
      <c r="E59" s="11">
        <v>2.0</v>
      </c>
      <c r="F59" s="10" t="s">
        <v>277</v>
      </c>
      <c r="G59" s="10" t="s">
        <v>278</v>
      </c>
      <c r="H59" s="10" t="s">
        <v>36</v>
      </c>
      <c r="I59" s="10" t="s">
        <v>277</v>
      </c>
      <c r="J59" s="10" t="s">
        <v>266</v>
      </c>
      <c r="K59" s="15" t="s">
        <v>39</v>
      </c>
      <c r="L59" s="17" t="s">
        <v>12</v>
      </c>
    </row>
    <row r="60" ht="45.0" customHeight="1">
      <c r="A60" s="19">
        <v>58.0</v>
      </c>
      <c r="B60" s="18" t="s">
        <v>239</v>
      </c>
      <c r="C60" s="18" t="s">
        <v>240</v>
      </c>
      <c r="D60" s="19" t="s">
        <v>195</v>
      </c>
      <c r="E60" s="19">
        <v>3.0</v>
      </c>
      <c r="F60" s="18" t="s">
        <v>279</v>
      </c>
      <c r="G60" s="18" t="s">
        <v>281</v>
      </c>
      <c r="H60" s="18" t="s">
        <v>36</v>
      </c>
      <c r="I60" s="18" t="s">
        <v>279</v>
      </c>
      <c r="J60" s="18" t="s">
        <v>266</v>
      </c>
      <c r="K60" s="15" t="s">
        <v>39</v>
      </c>
      <c r="L60" s="17" t="s">
        <v>12</v>
      </c>
    </row>
    <row r="61" ht="45.0" customHeight="1">
      <c r="A61" s="11">
        <v>59.0</v>
      </c>
      <c r="B61" s="10" t="s">
        <v>239</v>
      </c>
      <c r="C61" s="10" t="s">
        <v>240</v>
      </c>
      <c r="D61" s="11" t="s">
        <v>195</v>
      </c>
      <c r="E61" s="11">
        <v>4.0</v>
      </c>
      <c r="F61" s="10" t="s">
        <v>283</v>
      </c>
      <c r="G61" s="10" t="s">
        <v>284</v>
      </c>
      <c r="H61" s="10" t="s">
        <v>202</v>
      </c>
      <c r="I61" s="10" t="s">
        <v>283</v>
      </c>
      <c r="J61" s="10" t="s">
        <v>266</v>
      </c>
      <c r="K61" s="15" t="s">
        <v>39</v>
      </c>
      <c r="L61" s="17" t="s">
        <v>12</v>
      </c>
    </row>
    <row r="62" ht="45.0" customHeight="1">
      <c r="A62" s="19">
        <v>60.0</v>
      </c>
      <c r="B62" s="18" t="s">
        <v>239</v>
      </c>
      <c r="C62" s="18" t="s">
        <v>240</v>
      </c>
      <c r="D62" s="19" t="s">
        <v>195</v>
      </c>
      <c r="E62" s="19">
        <v>5.0</v>
      </c>
      <c r="F62" s="18" t="s">
        <v>288</v>
      </c>
      <c r="G62" s="18" t="s">
        <v>289</v>
      </c>
      <c r="H62" s="18" t="s">
        <v>36</v>
      </c>
      <c r="I62" s="18" t="s">
        <v>288</v>
      </c>
      <c r="J62" s="18" t="s">
        <v>266</v>
      </c>
      <c r="K62" s="15" t="s">
        <v>39</v>
      </c>
      <c r="L62" s="17" t="s">
        <v>12</v>
      </c>
    </row>
    <row r="63" ht="45.0" customHeight="1">
      <c r="A63" s="11">
        <v>61.0</v>
      </c>
      <c r="B63" s="10" t="s">
        <v>239</v>
      </c>
      <c r="C63" s="10" t="s">
        <v>240</v>
      </c>
      <c r="D63" s="11" t="s">
        <v>195</v>
      </c>
      <c r="E63" s="11">
        <v>6.0</v>
      </c>
      <c r="F63" s="10" t="s">
        <v>295</v>
      </c>
      <c r="G63" s="10" t="s">
        <v>297</v>
      </c>
      <c r="H63" s="10" t="s">
        <v>36</v>
      </c>
      <c r="I63" s="10" t="s">
        <v>295</v>
      </c>
      <c r="J63" s="10" t="s">
        <v>266</v>
      </c>
      <c r="K63" s="15" t="s">
        <v>39</v>
      </c>
      <c r="L63" s="17" t="s">
        <v>12</v>
      </c>
    </row>
    <row r="64" ht="57.75" customHeight="1">
      <c r="A64" s="19">
        <v>62.0</v>
      </c>
      <c r="B64" s="18" t="s">
        <v>239</v>
      </c>
      <c r="C64" s="18" t="s">
        <v>240</v>
      </c>
      <c r="D64" s="19" t="s">
        <v>195</v>
      </c>
      <c r="E64" s="19">
        <v>7.0</v>
      </c>
      <c r="F64" s="18" t="s">
        <v>300</v>
      </c>
      <c r="G64" s="18" t="s">
        <v>301</v>
      </c>
      <c r="H64" s="18" t="s">
        <v>36</v>
      </c>
      <c r="I64" s="18" t="s">
        <v>300</v>
      </c>
      <c r="J64" s="18" t="s">
        <v>266</v>
      </c>
      <c r="K64" s="15" t="s">
        <v>39</v>
      </c>
      <c r="L64" s="17" t="s">
        <v>12</v>
      </c>
    </row>
    <row r="65" ht="45.0" customHeight="1">
      <c r="A65" s="11">
        <v>63.0</v>
      </c>
      <c r="B65" s="10" t="s">
        <v>239</v>
      </c>
      <c r="C65" s="10" t="s">
        <v>240</v>
      </c>
      <c r="D65" s="11" t="s">
        <v>195</v>
      </c>
      <c r="E65" s="11">
        <v>8.0</v>
      </c>
      <c r="F65" s="10" t="s">
        <v>307</v>
      </c>
      <c r="G65" s="10" t="s">
        <v>308</v>
      </c>
      <c r="H65" s="10" t="s">
        <v>36</v>
      </c>
      <c r="I65" s="10" t="s">
        <v>307</v>
      </c>
      <c r="J65" s="10" t="s">
        <v>266</v>
      </c>
      <c r="K65" s="15" t="s">
        <v>39</v>
      </c>
      <c r="L65" s="17" t="s">
        <v>12</v>
      </c>
    </row>
    <row r="66" ht="57.75" customHeight="1">
      <c r="A66" s="19">
        <v>64.0</v>
      </c>
      <c r="B66" s="18" t="s">
        <v>239</v>
      </c>
      <c r="C66" s="18" t="s">
        <v>240</v>
      </c>
      <c r="D66" s="19" t="s">
        <v>195</v>
      </c>
      <c r="E66" s="19">
        <v>9.0</v>
      </c>
      <c r="F66" s="18" t="s">
        <v>318</v>
      </c>
      <c r="G66" s="18" t="s">
        <v>320</v>
      </c>
      <c r="H66" s="18" t="s">
        <v>322</v>
      </c>
      <c r="I66" s="18" t="s">
        <v>324</v>
      </c>
      <c r="J66" s="18" t="s">
        <v>218</v>
      </c>
      <c r="K66" s="22" t="s">
        <v>234</v>
      </c>
      <c r="L66" s="24" t="s">
        <v>18</v>
      </c>
    </row>
    <row r="67" ht="45.0" customHeight="1">
      <c r="A67" s="11">
        <v>65.0</v>
      </c>
      <c r="B67" s="10" t="s">
        <v>239</v>
      </c>
      <c r="C67" s="10" t="s">
        <v>240</v>
      </c>
      <c r="D67" s="11" t="s">
        <v>195</v>
      </c>
      <c r="E67" s="11">
        <v>10.0</v>
      </c>
      <c r="F67" s="10" t="s">
        <v>330</v>
      </c>
      <c r="G67" s="10" t="s">
        <v>332</v>
      </c>
      <c r="H67" s="10" t="s">
        <v>334</v>
      </c>
      <c r="I67" s="10" t="s">
        <v>335</v>
      </c>
      <c r="J67" s="10" t="s">
        <v>218</v>
      </c>
      <c r="K67" s="22" t="s">
        <v>338</v>
      </c>
      <c r="L67" s="24" t="s">
        <v>18</v>
      </c>
    </row>
    <row r="68" ht="45.0" customHeight="1">
      <c r="A68" s="19">
        <v>66.0</v>
      </c>
      <c r="B68" s="18" t="s">
        <v>239</v>
      </c>
      <c r="C68" s="18" t="s">
        <v>240</v>
      </c>
      <c r="D68" s="19" t="s">
        <v>195</v>
      </c>
      <c r="E68" s="19">
        <v>11.0</v>
      </c>
      <c r="F68" s="18" t="s">
        <v>342</v>
      </c>
      <c r="G68" s="18" t="s">
        <v>344</v>
      </c>
      <c r="H68" s="18" t="s">
        <v>345</v>
      </c>
      <c r="I68" s="18" t="s">
        <v>347</v>
      </c>
      <c r="J68" s="18" t="s">
        <v>218</v>
      </c>
      <c r="K68" s="22" t="s">
        <v>338</v>
      </c>
      <c r="L68" s="24" t="s">
        <v>18</v>
      </c>
    </row>
    <row r="69" ht="45.0" customHeight="1">
      <c r="A69" s="11">
        <v>67.0</v>
      </c>
      <c r="B69" s="10" t="s">
        <v>256</v>
      </c>
      <c r="C69" s="10" t="s">
        <v>257</v>
      </c>
      <c r="D69" s="11" t="s">
        <v>353</v>
      </c>
      <c r="E69" s="11">
        <v>1.0</v>
      </c>
      <c r="F69" s="10" t="s">
        <v>355</v>
      </c>
      <c r="G69" s="10" t="s">
        <v>357</v>
      </c>
      <c r="H69" s="10" t="s">
        <v>358</v>
      </c>
      <c r="I69" s="10" t="s">
        <v>355</v>
      </c>
      <c r="J69" s="10" t="s">
        <v>266</v>
      </c>
      <c r="K69" s="15" t="s">
        <v>39</v>
      </c>
      <c r="L69" s="17" t="s">
        <v>12</v>
      </c>
    </row>
    <row r="70" ht="45.0" customHeight="1">
      <c r="A70" s="19">
        <v>68.0</v>
      </c>
      <c r="B70" s="18" t="s">
        <v>256</v>
      </c>
      <c r="C70" s="18" t="s">
        <v>257</v>
      </c>
      <c r="D70" s="19" t="s">
        <v>353</v>
      </c>
      <c r="E70" s="19">
        <v>2.0</v>
      </c>
      <c r="F70" s="18" t="s">
        <v>365</v>
      </c>
      <c r="G70" s="18" t="s">
        <v>367</v>
      </c>
      <c r="H70" s="18" t="s">
        <v>36</v>
      </c>
      <c r="I70" s="18" t="s">
        <v>365</v>
      </c>
      <c r="J70" s="18" t="s">
        <v>266</v>
      </c>
      <c r="K70" s="15" t="s">
        <v>39</v>
      </c>
      <c r="L70" s="17" t="s">
        <v>12</v>
      </c>
    </row>
    <row r="71" ht="45.0" customHeight="1">
      <c r="A71" s="11">
        <v>69.0</v>
      </c>
      <c r="B71" s="10" t="s">
        <v>256</v>
      </c>
      <c r="C71" s="10" t="s">
        <v>257</v>
      </c>
      <c r="D71" s="11" t="s">
        <v>353</v>
      </c>
      <c r="E71" s="11">
        <v>3.0</v>
      </c>
      <c r="F71" s="10" t="s">
        <v>369</v>
      </c>
      <c r="G71" s="10" t="s">
        <v>371</v>
      </c>
      <c r="H71" s="10" t="s">
        <v>36</v>
      </c>
      <c r="I71" s="10" t="s">
        <v>369</v>
      </c>
      <c r="J71" s="10" t="s">
        <v>266</v>
      </c>
      <c r="K71" s="15" t="s">
        <v>39</v>
      </c>
      <c r="L71" s="17" t="s">
        <v>12</v>
      </c>
    </row>
    <row r="72" ht="45.0" customHeight="1">
      <c r="A72" s="19">
        <v>70.0</v>
      </c>
      <c r="B72" s="18" t="s">
        <v>256</v>
      </c>
      <c r="C72" s="18" t="s">
        <v>257</v>
      </c>
      <c r="D72" s="19" t="s">
        <v>353</v>
      </c>
      <c r="E72" s="19">
        <v>4.0</v>
      </c>
      <c r="F72" s="18" t="s">
        <v>373</v>
      </c>
      <c r="G72" s="18" t="s">
        <v>374</v>
      </c>
      <c r="H72" s="18" t="s">
        <v>36</v>
      </c>
      <c r="I72" s="18" t="s">
        <v>373</v>
      </c>
      <c r="J72" s="18" t="s">
        <v>266</v>
      </c>
      <c r="K72" s="15" t="s">
        <v>39</v>
      </c>
      <c r="L72" s="17" t="s">
        <v>12</v>
      </c>
    </row>
    <row r="73" ht="45.0" customHeight="1">
      <c r="A73" s="11">
        <v>71.0</v>
      </c>
      <c r="B73" s="10" t="s">
        <v>256</v>
      </c>
      <c r="C73" s="10" t="s">
        <v>257</v>
      </c>
      <c r="D73" s="11" t="s">
        <v>353</v>
      </c>
      <c r="E73" s="11">
        <v>5.0</v>
      </c>
      <c r="F73" s="10" t="s">
        <v>375</v>
      </c>
      <c r="G73" s="10" t="s">
        <v>376</v>
      </c>
      <c r="H73" s="10" t="s">
        <v>65</v>
      </c>
      <c r="I73" s="10" t="s">
        <v>375</v>
      </c>
      <c r="J73" s="10" t="s">
        <v>266</v>
      </c>
      <c r="K73" s="15" t="s">
        <v>39</v>
      </c>
      <c r="L73" s="17" t="s">
        <v>12</v>
      </c>
    </row>
    <row r="74" ht="45.0" customHeight="1">
      <c r="A74" s="19">
        <v>72.0</v>
      </c>
      <c r="B74" s="18" t="s">
        <v>256</v>
      </c>
      <c r="C74" s="18" t="s">
        <v>257</v>
      </c>
      <c r="D74" s="19" t="s">
        <v>353</v>
      </c>
      <c r="E74" s="19">
        <v>6.0</v>
      </c>
      <c r="F74" s="18" t="s">
        <v>377</v>
      </c>
      <c r="G74" s="18" t="s">
        <v>378</v>
      </c>
      <c r="H74" s="18" t="s">
        <v>379</v>
      </c>
      <c r="I74" s="18" t="s">
        <v>380</v>
      </c>
      <c r="J74" s="18" t="s">
        <v>108</v>
      </c>
      <c r="K74" s="22" t="s">
        <v>77</v>
      </c>
      <c r="L74" s="24" t="s">
        <v>18</v>
      </c>
    </row>
    <row r="75" ht="45.0" customHeight="1">
      <c r="A75" s="11">
        <v>73.0</v>
      </c>
      <c r="B75" s="10" t="s">
        <v>256</v>
      </c>
      <c r="C75" s="10" t="s">
        <v>257</v>
      </c>
      <c r="D75" s="11" t="s">
        <v>353</v>
      </c>
      <c r="E75" s="11">
        <v>7.0</v>
      </c>
      <c r="F75" s="10" t="s">
        <v>381</v>
      </c>
      <c r="G75" s="10" t="s">
        <v>382</v>
      </c>
      <c r="H75" s="10" t="s">
        <v>383</v>
      </c>
      <c r="I75" s="10" t="s">
        <v>384</v>
      </c>
      <c r="J75" s="10" t="s">
        <v>108</v>
      </c>
      <c r="K75" s="22" t="s">
        <v>77</v>
      </c>
      <c r="L75" s="24" t="s">
        <v>18</v>
      </c>
    </row>
    <row r="76" ht="45.0" customHeight="1">
      <c r="A76" s="19">
        <v>74.0</v>
      </c>
      <c r="B76" s="18" t="s">
        <v>256</v>
      </c>
      <c r="C76" s="18" t="s">
        <v>257</v>
      </c>
      <c r="D76" s="19" t="s">
        <v>353</v>
      </c>
      <c r="E76" s="19">
        <v>8.0</v>
      </c>
      <c r="F76" s="18" t="s">
        <v>385</v>
      </c>
      <c r="G76" s="18" t="s">
        <v>386</v>
      </c>
      <c r="H76" s="18" t="s">
        <v>387</v>
      </c>
      <c r="I76" s="18" t="s">
        <v>388</v>
      </c>
      <c r="J76" s="18" t="s">
        <v>108</v>
      </c>
      <c r="K76" s="22" t="s">
        <v>77</v>
      </c>
      <c r="L76" s="24" t="s">
        <v>18</v>
      </c>
    </row>
    <row r="77" ht="45.0" customHeight="1">
      <c r="A77" s="11">
        <v>75.0</v>
      </c>
      <c r="B77" s="10" t="s">
        <v>280</v>
      </c>
      <c r="C77" s="10" t="s">
        <v>282</v>
      </c>
      <c r="D77" s="11" t="s">
        <v>353</v>
      </c>
      <c r="E77" s="11">
        <v>1.0</v>
      </c>
      <c r="F77" s="10" t="s">
        <v>391</v>
      </c>
      <c r="G77" s="10" t="s">
        <v>392</v>
      </c>
      <c r="H77" s="10" t="s">
        <v>36</v>
      </c>
      <c r="I77" s="10" t="s">
        <v>391</v>
      </c>
      <c r="J77" s="10" t="s">
        <v>37</v>
      </c>
      <c r="K77" s="15" t="s">
        <v>39</v>
      </c>
      <c r="L77" s="17" t="s">
        <v>12</v>
      </c>
    </row>
    <row r="78" ht="45.0" customHeight="1">
      <c r="A78" s="19">
        <v>76.0</v>
      </c>
      <c r="B78" s="18" t="s">
        <v>280</v>
      </c>
      <c r="C78" s="18" t="s">
        <v>282</v>
      </c>
      <c r="D78" s="19" t="s">
        <v>353</v>
      </c>
      <c r="E78" s="19">
        <v>2.0</v>
      </c>
      <c r="F78" s="18" t="s">
        <v>394</v>
      </c>
      <c r="G78" s="18" t="s">
        <v>395</v>
      </c>
      <c r="H78" s="18" t="s">
        <v>36</v>
      </c>
      <c r="I78" s="18" t="s">
        <v>394</v>
      </c>
      <c r="J78" s="18" t="s">
        <v>37</v>
      </c>
      <c r="K78" s="15" t="s">
        <v>39</v>
      </c>
      <c r="L78" s="17" t="s">
        <v>12</v>
      </c>
    </row>
    <row r="79" ht="45.0" customHeight="1">
      <c r="A79" s="11">
        <v>77.0</v>
      </c>
      <c r="B79" s="10" t="s">
        <v>280</v>
      </c>
      <c r="C79" s="10" t="s">
        <v>282</v>
      </c>
      <c r="D79" s="11" t="s">
        <v>353</v>
      </c>
      <c r="E79" s="11">
        <v>3.0</v>
      </c>
      <c r="F79" s="10" t="s">
        <v>397</v>
      </c>
      <c r="G79" s="10" t="s">
        <v>398</v>
      </c>
      <c r="H79" s="10" t="s">
        <v>399</v>
      </c>
      <c r="I79" s="10" t="s">
        <v>397</v>
      </c>
      <c r="J79" s="10" t="s">
        <v>37</v>
      </c>
      <c r="K79" s="15" t="s">
        <v>39</v>
      </c>
      <c r="L79" s="17" t="s">
        <v>12</v>
      </c>
    </row>
    <row r="80" ht="45.0" customHeight="1">
      <c r="A80" s="19">
        <v>78.0</v>
      </c>
      <c r="B80" s="18" t="s">
        <v>280</v>
      </c>
      <c r="C80" s="18" t="s">
        <v>282</v>
      </c>
      <c r="D80" s="19" t="s">
        <v>353</v>
      </c>
      <c r="E80" s="19">
        <v>4.0</v>
      </c>
      <c r="F80" s="18" t="s">
        <v>401</v>
      </c>
      <c r="G80" s="18" t="s">
        <v>402</v>
      </c>
      <c r="H80" s="18" t="s">
        <v>51</v>
      </c>
      <c r="I80" s="18" t="s">
        <v>401</v>
      </c>
      <c r="J80" s="18" t="s">
        <v>37</v>
      </c>
      <c r="K80" s="15" t="s">
        <v>39</v>
      </c>
      <c r="L80" s="17" t="s">
        <v>12</v>
      </c>
    </row>
    <row r="81" ht="57.75" customHeight="1">
      <c r="A81" s="11">
        <v>79.0</v>
      </c>
      <c r="B81" s="10" t="s">
        <v>280</v>
      </c>
      <c r="C81" s="10" t="s">
        <v>282</v>
      </c>
      <c r="D81" s="11" t="s">
        <v>353</v>
      </c>
      <c r="E81" s="11">
        <v>5.0</v>
      </c>
      <c r="F81" s="10" t="s">
        <v>406</v>
      </c>
      <c r="G81" s="10" t="s">
        <v>407</v>
      </c>
      <c r="H81" s="10" t="s">
        <v>51</v>
      </c>
      <c r="I81" s="10" t="s">
        <v>406</v>
      </c>
      <c r="J81" s="10" t="s">
        <v>37</v>
      </c>
      <c r="K81" s="22" t="s">
        <v>77</v>
      </c>
      <c r="L81" s="24" t="s">
        <v>18</v>
      </c>
    </row>
    <row r="82" ht="45.0" customHeight="1">
      <c r="A82" s="19">
        <v>80.0</v>
      </c>
      <c r="B82" s="18" t="s">
        <v>280</v>
      </c>
      <c r="C82" s="18" t="s">
        <v>282</v>
      </c>
      <c r="D82" s="19" t="s">
        <v>353</v>
      </c>
      <c r="E82" s="19">
        <v>6.0</v>
      </c>
      <c r="F82" s="18" t="s">
        <v>409</v>
      </c>
      <c r="G82" s="18" t="s">
        <v>412</v>
      </c>
      <c r="H82" s="18" t="s">
        <v>36</v>
      </c>
      <c r="I82" s="18" t="s">
        <v>409</v>
      </c>
      <c r="J82" s="18" t="s">
        <v>37</v>
      </c>
      <c r="K82" s="15" t="s">
        <v>39</v>
      </c>
      <c r="L82" s="17" t="s">
        <v>12</v>
      </c>
    </row>
    <row r="83" ht="45.0" customHeight="1">
      <c r="A83" s="11">
        <v>81.0</v>
      </c>
      <c r="B83" s="10" t="s">
        <v>280</v>
      </c>
      <c r="C83" s="10" t="s">
        <v>282</v>
      </c>
      <c r="D83" s="11" t="s">
        <v>353</v>
      </c>
      <c r="E83" s="11">
        <v>7.0</v>
      </c>
      <c r="F83" s="10" t="s">
        <v>414</v>
      </c>
      <c r="G83" s="10" t="s">
        <v>415</v>
      </c>
      <c r="H83" s="10" t="s">
        <v>58</v>
      </c>
      <c r="I83" s="10" t="s">
        <v>414</v>
      </c>
      <c r="J83" s="10" t="s">
        <v>37</v>
      </c>
      <c r="K83" s="15" t="s">
        <v>39</v>
      </c>
      <c r="L83" s="17" t="s">
        <v>12</v>
      </c>
    </row>
    <row r="84" ht="45.0" customHeight="1">
      <c r="A84" s="19">
        <v>82.0</v>
      </c>
      <c r="B84" s="18" t="s">
        <v>280</v>
      </c>
      <c r="C84" s="18" t="s">
        <v>282</v>
      </c>
      <c r="D84" s="19" t="s">
        <v>353</v>
      </c>
      <c r="E84" s="19">
        <v>8.0</v>
      </c>
      <c r="F84" s="18" t="s">
        <v>417</v>
      </c>
      <c r="G84" s="18" t="s">
        <v>418</v>
      </c>
      <c r="H84" s="18" t="s">
        <v>419</v>
      </c>
      <c r="I84" s="18" t="s">
        <v>420</v>
      </c>
      <c r="J84" s="18" t="s">
        <v>37</v>
      </c>
      <c r="K84" s="22" t="s">
        <v>77</v>
      </c>
      <c r="L84" s="24" t="s">
        <v>18</v>
      </c>
    </row>
    <row r="85" ht="45.0" customHeight="1">
      <c r="A85" s="11">
        <v>83.0</v>
      </c>
      <c r="B85" s="10" t="s">
        <v>280</v>
      </c>
      <c r="C85" s="10" t="s">
        <v>282</v>
      </c>
      <c r="D85" s="11" t="s">
        <v>353</v>
      </c>
      <c r="E85" s="11">
        <v>9.0</v>
      </c>
      <c r="F85" s="10" t="s">
        <v>422</v>
      </c>
      <c r="G85" s="10" t="s">
        <v>423</v>
      </c>
      <c r="H85" s="10" t="s">
        <v>425</v>
      </c>
      <c r="I85" s="10" t="s">
        <v>426</v>
      </c>
      <c r="J85" s="10" t="s">
        <v>37</v>
      </c>
      <c r="K85" s="22" t="s">
        <v>77</v>
      </c>
      <c r="L85" s="24" t="s">
        <v>18</v>
      </c>
    </row>
    <row r="86" ht="45.0" customHeight="1">
      <c r="A86" s="19">
        <v>84.0</v>
      </c>
      <c r="B86" s="18" t="s">
        <v>280</v>
      </c>
      <c r="C86" s="18" t="s">
        <v>282</v>
      </c>
      <c r="D86" s="19" t="s">
        <v>353</v>
      </c>
      <c r="E86" s="19">
        <v>10.0</v>
      </c>
      <c r="F86" s="18" t="s">
        <v>427</v>
      </c>
      <c r="G86" s="18" t="s">
        <v>428</v>
      </c>
      <c r="H86" s="18" t="s">
        <v>429</v>
      </c>
      <c r="I86" s="18" t="s">
        <v>430</v>
      </c>
      <c r="J86" s="18" t="s">
        <v>37</v>
      </c>
      <c r="K86" s="22" t="s">
        <v>77</v>
      </c>
      <c r="L86" s="24" t="s">
        <v>18</v>
      </c>
    </row>
    <row r="87" ht="45.0" customHeight="1">
      <c r="A87" s="11">
        <v>85.0</v>
      </c>
      <c r="B87" s="10" t="s">
        <v>280</v>
      </c>
      <c r="C87" s="10" t="s">
        <v>282</v>
      </c>
      <c r="D87" s="11" t="s">
        <v>353</v>
      </c>
      <c r="E87" s="11">
        <v>11.0</v>
      </c>
      <c r="F87" s="10" t="s">
        <v>433</v>
      </c>
      <c r="G87" s="10" t="s">
        <v>434</v>
      </c>
      <c r="H87" s="10" t="s">
        <v>435</v>
      </c>
      <c r="I87" s="10" t="s">
        <v>436</v>
      </c>
      <c r="J87" s="10" t="s">
        <v>37</v>
      </c>
      <c r="K87" s="22" t="s">
        <v>77</v>
      </c>
      <c r="L87" s="24" t="s">
        <v>18</v>
      </c>
    </row>
    <row r="88" ht="45.0" customHeight="1">
      <c r="A88" s="19">
        <v>86.0</v>
      </c>
      <c r="B88" s="18" t="s">
        <v>314</v>
      </c>
      <c r="C88" s="18" t="s">
        <v>316</v>
      </c>
      <c r="D88" s="19" t="s">
        <v>353</v>
      </c>
      <c r="E88" s="19">
        <v>1.0</v>
      </c>
      <c r="F88" s="18" t="s">
        <v>443</v>
      </c>
      <c r="G88" s="18" t="s">
        <v>445</v>
      </c>
      <c r="H88" s="18" t="s">
        <v>358</v>
      </c>
      <c r="I88" s="18" t="s">
        <v>443</v>
      </c>
      <c r="J88" s="18" t="s">
        <v>266</v>
      </c>
      <c r="K88" s="15" t="s">
        <v>39</v>
      </c>
      <c r="L88" s="17" t="s">
        <v>12</v>
      </c>
    </row>
    <row r="89" ht="57.75" customHeight="1">
      <c r="A89" s="11">
        <v>87.0</v>
      </c>
      <c r="B89" s="10" t="s">
        <v>314</v>
      </c>
      <c r="C89" s="10" t="s">
        <v>316</v>
      </c>
      <c r="D89" s="11" t="s">
        <v>353</v>
      </c>
      <c r="E89" s="11">
        <v>2.0</v>
      </c>
      <c r="F89" s="10" t="s">
        <v>448</v>
      </c>
      <c r="G89" s="10" t="s">
        <v>450</v>
      </c>
      <c r="H89" s="10" t="s">
        <v>51</v>
      </c>
      <c r="I89" s="10" t="s">
        <v>448</v>
      </c>
      <c r="J89" s="10" t="s">
        <v>266</v>
      </c>
      <c r="K89" s="22" t="s">
        <v>77</v>
      </c>
      <c r="L89" s="24" t="s">
        <v>18</v>
      </c>
    </row>
    <row r="90" ht="45.0" customHeight="1">
      <c r="A90" s="19">
        <v>88.0</v>
      </c>
      <c r="B90" s="18" t="s">
        <v>314</v>
      </c>
      <c r="C90" s="18" t="s">
        <v>316</v>
      </c>
      <c r="D90" s="19" t="s">
        <v>353</v>
      </c>
      <c r="E90" s="19">
        <v>3.0</v>
      </c>
      <c r="F90" s="18" t="s">
        <v>452</v>
      </c>
      <c r="G90" s="18" t="s">
        <v>454</v>
      </c>
      <c r="H90" s="18" t="s">
        <v>36</v>
      </c>
      <c r="I90" s="18" t="s">
        <v>452</v>
      </c>
      <c r="J90" s="18" t="s">
        <v>266</v>
      </c>
      <c r="K90" s="22" t="s">
        <v>77</v>
      </c>
      <c r="L90" s="24" t="s">
        <v>18</v>
      </c>
    </row>
    <row r="91" ht="45.0" customHeight="1">
      <c r="A91" s="11">
        <v>89.0</v>
      </c>
      <c r="B91" s="10" t="s">
        <v>314</v>
      </c>
      <c r="C91" s="10" t="s">
        <v>316</v>
      </c>
      <c r="D91" s="11" t="s">
        <v>353</v>
      </c>
      <c r="E91" s="11">
        <v>4.0</v>
      </c>
      <c r="F91" s="10" t="s">
        <v>455</v>
      </c>
      <c r="G91" s="10" t="s">
        <v>456</v>
      </c>
      <c r="H91" s="10" t="s">
        <v>36</v>
      </c>
      <c r="I91" s="10" t="s">
        <v>455</v>
      </c>
      <c r="J91" s="10" t="s">
        <v>266</v>
      </c>
      <c r="K91" s="22" t="s">
        <v>77</v>
      </c>
      <c r="L91" s="24" t="s">
        <v>18</v>
      </c>
    </row>
    <row r="92" ht="57.75" customHeight="1">
      <c r="A92" s="19">
        <v>90.0</v>
      </c>
      <c r="B92" s="18" t="s">
        <v>314</v>
      </c>
      <c r="C92" s="18" t="s">
        <v>316</v>
      </c>
      <c r="D92" s="19" t="s">
        <v>353</v>
      </c>
      <c r="E92" s="19">
        <v>5.0</v>
      </c>
      <c r="F92" s="18" t="s">
        <v>460</v>
      </c>
      <c r="G92" s="18" t="s">
        <v>462</v>
      </c>
      <c r="H92" s="18" t="s">
        <v>36</v>
      </c>
      <c r="I92" s="18" t="s">
        <v>460</v>
      </c>
      <c r="J92" s="18" t="s">
        <v>266</v>
      </c>
      <c r="K92" s="22" t="s">
        <v>77</v>
      </c>
      <c r="L92" s="24" t="s">
        <v>18</v>
      </c>
    </row>
    <row r="93" ht="45.0" customHeight="1">
      <c r="A93" s="11">
        <v>91.0</v>
      </c>
      <c r="B93" s="10" t="s">
        <v>314</v>
      </c>
      <c r="C93" s="10" t="s">
        <v>316</v>
      </c>
      <c r="D93" s="11" t="s">
        <v>353</v>
      </c>
      <c r="E93" s="11">
        <v>6.0</v>
      </c>
      <c r="F93" s="10" t="s">
        <v>464</v>
      </c>
      <c r="G93" s="10" t="s">
        <v>465</v>
      </c>
      <c r="H93" s="10" t="s">
        <v>65</v>
      </c>
      <c r="I93" s="10" t="s">
        <v>464</v>
      </c>
      <c r="J93" s="10" t="s">
        <v>266</v>
      </c>
      <c r="K93" s="22" t="s">
        <v>77</v>
      </c>
      <c r="L93" s="24" t="s">
        <v>18</v>
      </c>
    </row>
    <row r="94" ht="45.0" customHeight="1">
      <c r="A94" s="19">
        <v>92.0</v>
      </c>
      <c r="B94" s="18" t="s">
        <v>314</v>
      </c>
      <c r="C94" s="18" t="s">
        <v>316</v>
      </c>
      <c r="D94" s="19" t="s">
        <v>353</v>
      </c>
      <c r="E94" s="19">
        <v>7.0</v>
      </c>
      <c r="F94" s="18" t="s">
        <v>467</v>
      </c>
      <c r="G94" s="18" t="s">
        <v>468</v>
      </c>
      <c r="H94" s="18" t="s">
        <v>470</v>
      </c>
      <c r="I94" s="18" t="s">
        <v>471</v>
      </c>
      <c r="J94" s="18" t="s">
        <v>266</v>
      </c>
      <c r="K94" s="22" t="s">
        <v>77</v>
      </c>
      <c r="L94" s="24" t="s">
        <v>18</v>
      </c>
    </row>
    <row r="95" ht="45.0" customHeight="1">
      <c r="A95" s="11">
        <v>93.0</v>
      </c>
      <c r="B95" s="10" t="s">
        <v>370</v>
      </c>
      <c r="C95" s="10" t="s">
        <v>372</v>
      </c>
      <c r="D95" s="11" t="s">
        <v>32</v>
      </c>
      <c r="E95" s="11">
        <v>1.0</v>
      </c>
      <c r="F95" s="10" t="s">
        <v>472</v>
      </c>
      <c r="G95" s="10" t="s">
        <v>473</v>
      </c>
      <c r="H95" s="10" t="s">
        <v>399</v>
      </c>
      <c r="I95" s="10" t="s">
        <v>472</v>
      </c>
      <c r="J95" s="10" t="s">
        <v>266</v>
      </c>
      <c r="K95" s="15" t="s">
        <v>39</v>
      </c>
      <c r="L95" s="17" t="s">
        <v>12</v>
      </c>
    </row>
    <row r="96" ht="45.0" customHeight="1">
      <c r="A96" s="19">
        <v>94.0</v>
      </c>
      <c r="B96" s="18" t="s">
        <v>370</v>
      </c>
      <c r="C96" s="18" t="s">
        <v>372</v>
      </c>
      <c r="D96" s="19" t="s">
        <v>32</v>
      </c>
      <c r="E96" s="19">
        <v>2.0</v>
      </c>
      <c r="F96" s="18" t="s">
        <v>476</v>
      </c>
      <c r="G96" s="18" t="s">
        <v>477</v>
      </c>
      <c r="H96" s="18" t="s">
        <v>478</v>
      </c>
      <c r="I96" s="18" t="s">
        <v>476</v>
      </c>
      <c r="J96" s="18" t="s">
        <v>266</v>
      </c>
      <c r="K96" s="15" t="s">
        <v>39</v>
      </c>
      <c r="L96" s="17" t="s">
        <v>12</v>
      </c>
    </row>
    <row r="97" ht="45.0" customHeight="1">
      <c r="A97" s="11">
        <v>95.0</v>
      </c>
      <c r="B97" s="10" t="s">
        <v>370</v>
      </c>
      <c r="C97" s="10" t="s">
        <v>372</v>
      </c>
      <c r="D97" s="11" t="s">
        <v>32</v>
      </c>
      <c r="E97" s="11">
        <v>3.0</v>
      </c>
      <c r="F97" s="10" t="s">
        <v>481</v>
      </c>
      <c r="G97" s="10" t="s">
        <v>482</v>
      </c>
      <c r="H97" s="10" t="s">
        <v>478</v>
      </c>
      <c r="I97" s="10" t="s">
        <v>481</v>
      </c>
      <c r="J97" s="10" t="s">
        <v>266</v>
      </c>
      <c r="K97" s="15" t="s">
        <v>39</v>
      </c>
      <c r="L97" s="17" t="s">
        <v>12</v>
      </c>
    </row>
    <row r="98" ht="45.0" customHeight="1">
      <c r="A98" s="19">
        <v>96.0</v>
      </c>
      <c r="B98" s="18" t="s">
        <v>370</v>
      </c>
      <c r="C98" s="18" t="s">
        <v>372</v>
      </c>
      <c r="D98" s="19" t="s">
        <v>32</v>
      </c>
      <c r="E98" s="19">
        <v>4.0</v>
      </c>
      <c r="F98" s="18" t="s">
        <v>485</v>
      </c>
      <c r="G98" s="18" t="s">
        <v>486</v>
      </c>
      <c r="H98" s="18" t="s">
        <v>478</v>
      </c>
      <c r="I98" s="18" t="s">
        <v>485</v>
      </c>
      <c r="J98" s="18" t="s">
        <v>266</v>
      </c>
      <c r="K98" s="15" t="s">
        <v>39</v>
      </c>
      <c r="L98" s="17" t="s">
        <v>12</v>
      </c>
    </row>
    <row r="99" ht="45.0" customHeight="1">
      <c r="A99" s="11">
        <v>97.0</v>
      </c>
      <c r="B99" s="10" t="s">
        <v>370</v>
      </c>
      <c r="C99" s="10" t="s">
        <v>372</v>
      </c>
      <c r="D99" s="11" t="s">
        <v>32</v>
      </c>
      <c r="E99" s="11">
        <v>5.0</v>
      </c>
      <c r="F99" s="10" t="s">
        <v>401</v>
      </c>
      <c r="G99" s="10" t="s">
        <v>402</v>
      </c>
      <c r="H99" s="10" t="s">
        <v>51</v>
      </c>
      <c r="I99" s="10" t="s">
        <v>401</v>
      </c>
      <c r="J99" s="10" t="s">
        <v>266</v>
      </c>
      <c r="K99" s="15" t="s">
        <v>39</v>
      </c>
      <c r="L99" s="17" t="s">
        <v>12</v>
      </c>
    </row>
    <row r="100" ht="45.0" customHeight="1">
      <c r="A100" s="19">
        <v>98.0</v>
      </c>
      <c r="B100" s="18" t="s">
        <v>370</v>
      </c>
      <c r="C100" s="18" t="s">
        <v>372</v>
      </c>
      <c r="D100" s="19" t="s">
        <v>32</v>
      </c>
      <c r="E100" s="19">
        <v>6.0</v>
      </c>
      <c r="F100" s="18" t="s">
        <v>492</v>
      </c>
      <c r="G100" s="18" t="s">
        <v>493</v>
      </c>
      <c r="H100" s="18" t="s">
        <v>494</v>
      </c>
      <c r="I100" s="18" t="s">
        <v>492</v>
      </c>
      <c r="J100" s="18" t="s">
        <v>266</v>
      </c>
      <c r="K100" s="15" t="s">
        <v>39</v>
      </c>
      <c r="L100" s="17" t="s">
        <v>12</v>
      </c>
    </row>
    <row r="101" ht="45.0" customHeight="1">
      <c r="A101" s="11">
        <v>99.0</v>
      </c>
      <c r="B101" s="10" t="s">
        <v>370</v>
      </c>
      <c r="C101" s="10" t="s">
        <v>372</v>
      </c>
      <c r="D101" s="11" t="s">
        <v>32</v>
      </c>
      <c r="E101" s="11">
        <v>7.0</v>
      </c>
      <c r="F101" s="10" t="s">
        <v>497</v>
      </c>
      <c r="G101" s="10" t="s">
        <v>498</v>
      </c>
      <c r="H101" s="10" t="s">
        <v>494</v>
      </c>
      <c r="I101" s="10" t="s">
        <v>497</v>
      </c>
      <c r="J101" s="10" t="s">
        <v>266</v>
      </c>
      <c r="K101" s="15" t="s">
        <v>39</v>
      </c>
      <c r="L101" s="17" t="s">
        <v>12</v>
      </c>
    </row>
    <row r="102" ht="45.0" customHeight="1">
      <c r="A102" s="19">
        <v>100.0</v>
      </c>
      <c r="B102" s="18" t="s">
        <v>370</v>
      </c>
      <c r="C102" s="18" t="s">
        <v>372</v>
      </c>
      <c r="D102" s="19" t="s">
        <v>32</v>
      </c>
      <c r="E102" s="19">
        <v>8.0</v>
      </c>
      <c r="F102" s="18" t="s">
        <v>505</v>
      </c>
      <c r="G102" s="18" t="s">
        <v>507</v>
      </c>
      <c r="H102" s="18" t="s">
        <v>58</v>
      </c>
      <c r="I102" s="18" t="s">
        <v>505</v>
      </c>
      <c r="J102" s="18" t="s">
        <v>266</v>
      </c>
      <c r="K102" s="15" t="s">
        <v>39</v>
      </c>
      <c r="L102" s="17" t="s">
        <v>12</v>
      </c>
    </row>
    <row r="103" ht="57.75" customHeight="1">
      <c r="A103" s="11">
        <v>101.0</v>
      </c>
      <c r="B103" s="10" t="s">
        <v>370</v>
      </c>
      <c r="C103" s="10" t="s">
        <v>372</v>
      </c>
      <c r="D103" s="11" t="s">
        <v>32</v>
      </c>
      <c r="E103" s="11">
        <v>9.0</v>
      </c>
      <c r="F103" s="10" t="s">
        <v>510</v>
      </c>
      <c r="G103" s="10" t="s">
        <v>512</v>
      </c>
      <c r="H103" s="10" t="s">
        <v>513</v>
      </c>
      <c r="I103" s="10" t="s">
        <v>510</v>
      </c>
      <c r="J103" s="10" t="s">
        <v>266</v>
      </c>
      <c r="K103" s="15" t="s">
        <v>39</v>
      </c>
      <c r="L103" s="17" t="s">
        <v>12</v>
      </c>
    </row>
    <row r="104" ht="70.5" customHeight="1">
      <c r="A104" s="19">
        <v>102.0</v>
      </c>
      <c r="B104" s="18" t="s">
        <v>370</v>
      </c>
      <c r="C104" s="18" t="s">
        <v>372</v>
      </c>
      <c r="D104" s="19" t="s">
        <v>32</v>
      </c>
      <c r="E104" s="19">
        <v>10.0</v>
      </c>
      <c r="F104" s="18" t="s">
        <v>515</v>
      </c>
      <c r="G104" s="18" t="s">
        <v>516</v>
      </c>
      <c r="H104" s="18" t="s">
        <v>517</v>
      </c>
      <c r="I104" s="18" t="s">
        <v>515</v>
      </c>
      <c r="J104" s="18" t="s">
        <v>266</v>
      </c>
      <c r="K104" s="15" t="s">
        <v>39</v>
      </c>
      <c r="L104" s="17" t="s">
        <v>12</v>
      </c>
    </row>
    <row r="105" ht="45.0" customHeight="1">
      <c r="A105" s="11">
        <v>103.0</v>
      </c>
      <c r="B105" s="10" t="s">
        <v>389</v>
      </c>
      <c r="C105" s="10" t="s">
        <v>390</v>
      </c>
      <c r="D105" s="11" t="s">
        <v>32</v>
      </c>
      <c r="E105" s="11">
        <v>1.0</v>
      </c>
      <c r="F105" s="10" t="s">
        <v>521</v>
      </c>
      <c r="G105" s="10" t="s">
        <v>523</v>
      </c>
      <c r="H105" s="10" t="s">
        <v>358</v>
      </c>
      <c r="I105" s="10" t="s">
        <v>521</v>
      </c>
      <c r="J105" s="10" t="s">
        <v>218</v>
      </c>
      <c r="K105" s="15" t="s">
        <v>39</v>
      </c>
      <c r="L105" s="17" t="s">
        <v>12</v>
      </c>
    </row>
    <row r="106" ht="57.75" customHeight="1">
      <c r="A106" s="19">
        <v>104.0</v>
      </c>
      <c r="B106" s="18" t="s">
        <v>389</v>
      </c>
      <c r="C106" s="18" t="s">
        <v>390</v>
      </c>
      <c r="D106" s="19" t="s">
        <v>32</v>
      </c>
      <c r="E106" s="19">
        <v>2.0</v>
      </c>
      <c r="F106" s="18" t="s">
        <v>527</v>
      </c>
      <c r="G106" s="18" t="s">
        <v>528</v>
      </c>
      <c r="H106" s="18" t="s">
        <v>51</v>
      </c>
      <c r="I106" s="18" t="s">
        <v>527</v>
      </c>
      <c r="J106" s="18" t="s">
        <v>218</v>
      </c>
      <c r="K106" s="15" t="s">
        <v>39</v>
      </c>
      <c r="L106" s="17" t="s">
        <v>12</v>
      </c>
    </row>
    <row r="107" ht="45.0" customHeight="1">
      <c r="A107" s="11">
        <v>105.0</v>
      </c>
      <c r="B107" s="10" t="s">
        <v>389</v>
      </c>
      <c r="C107" s="10" t="s">
        <v>390</v>
      </c>
      <c r="D107" s="11" t="s">
        <v>32</v>
      </c>
      <c r="E107" s="11">
        <v>3.0</v>
      </c>
      <c r="F107" s="10" t="s">
        <v>533</v>
      </c>
      <c r="G107" s="10" t="s">
        <v>534</v>
      </c>
      <c r="H107" s="10" t="s">
        <v>494</v>
      </c>
      <c r="I107" s="10" t="s">
        <v>533</v>
      </c>
      <c r="J107" s="10" t="s">
        <v>218</v>
      </c>
      <c r="K107" s="15" t="s">
        <v>39</v>
      </c>
      <c r="L107" s="17" t="s">
        <v>12</v>
      </c>
    </row>
    <row r="108" ht="45.0" customHeight="1">
      <c r="A108" s="19">
        <v>106.0</v>
      </c>
      <c r="B108" s="18" t="s">
        <v>389</v>
      </c>
      <c r="C108" s="18" t="s">
        <v>390</v>
      </c>
      <c r="D108" s="19" t="s">
        <v>32</v>
      </c>
      <c r="E108" s="19">
        <v>4.0</v>
      </c>
      <c r="F108" s="18" t="s">
        <v>539</v>
      </c>
      <c r="G108" s="18" t="s">
        <v>540</v>
      </c>
      <c r="H108" s="18" t="s">
        <v>36</v>
      </c>
      <c r="I108" s="18" t="s">
        <v>539</v>
      </c>
      <c r="J108" s="18" t="s">
        <v>218</v>
      </c>
      <c r="K108" s="15" t="s">
        <v>39</v>
      </c>
      <c r="L108" s="17" t="s">
        <v>12</v>
      </c>
    </row>
    <row r="109" ht="45.0" customHeight="1">
      <c r="A109" s="11">
        <v>107.0</v>
      </c>
      <c r="B109" s="10" t="s">
        <v>389</v>
      </c>
      <c r="C109" s="10" t="s">
        <v>390</v>
      </c>
      <c r="D109" s="11" t="s">
        <v>32</v>
      </c>
      <c r="E109" s="11">
        <v>5.0</v>
      </c>
      <c r="F109" s="10" t="s">
        <v>544</v>
      </c>
      <c r="G109" s="10" t="s">
        <v>546</v>
      </c>
      <c r="H109" s="10" t="s">
        <v>36</v>
      </c>
      <c r="I109" s="10" t="s">
        <v>544</v>
      </c>
      <c r="J109" s="10" t="s">
        <v>218</v>
      </c>
      <c r="K109" s="15" t="s">
        <v>39</v>
      </c>
      <c r="L109" s="17" t="s">
        <v>12</v>
      </c>
    </row>
    <row r="110" ht="45.0" customHeight="1">
      <c r="A110" s="19">
        <v>108.0</v>
      </c>
      <c r="B110" s="18" t="s">
        <v>389</v>
      </c>
      <c r="C110" s="18" t="s">
        <v>390</v>
      </c>
      <c r="D110" s="19" t="s">
        <v>32</v>
      </c>
      <c r="E110" s="19">
        <v>6.0</v>
      </c>
      <c r="F110" s="18" t="s">
        <v>551</v>
      </c>
      <c r="G110" s="18" t="s">
        <v>552</v>
      </c>
      <c r="H110" s="18" t="s">
        <v>65</v>
      </c>
      <c r="I110" s="18" t="s">
        <v>551</v>
      </c>
      <c r="J110" s="18" t="s">
        <v>218</v>
      </c>
      <c r="K110" s="15" t="s">
        <v>39</v>
      </c>
      <c r="L110" s="17" t="s">
        <v>12</v>
      </c>
    </row>
    <row r="111" ht="57.75" customHeight="1">
      <c r="A111" s="11">
        <v>109.0</v>
      </c>
      <c r="B111" s="10" t="s">
        <v>410</v>
      </c>
      <c r="C111" s="10" t="s">
        <v>411</v>
      </c>
      <c r="D111" s="11" t="s">
        <v>353</v>
      </c>
      <c r="E111" s="11">
        <v>1.0</v>
      </c>
      <c r="F111" s="10" t="s">
        <v>556</v>
      </c>
      <c r="G111" s="10" t="s">
        <v>557</v>
      </c>
      <c r="H111" s="10" t="s">
        <v>36</v>
      </c>
      <c r="I111" s="10" t="s">
        <v>556</v>
      </c>
      <c r="J111" s="10" t="s">
        <v>218</v>
      </c>
      <c r="K111" s="15" t="s">
        <v>39</v>
      </c>
      <c r="L111" s="17" t="s">
        <v>12</v>
      </c>
    </row>
    <row r="112" ht="45.0" customHeight="1">
      <c r="A112" s="19">
        <v>110.0</v>
      </c>
      <c r="B112" s="18" t="s">
        <v>410</v>
      </c>
      <c r="C112" s="18" t="s">
        <v>411</v>
      </c>
      <c r="D112" s="19" t="s">
        <v>353</v>
      </c>
      <c r="E112" s="19">
        <v>2.0</v>
      </c>
      <c r="F112" s="18" t="s">
        <v>562</v>
      </c>
      <c r="G112" s="18" t="s">
        <v>563</v>
      </c>
      <c r="H112" s="18" t="s">
        <v>36</v>
      </c>
      <c r="I112" s="18" t="s">
        <v>562</v>
      </c>
      <c r="J112" s="18" t="s">
        <v>218</v>
      </c>
      <c r="K112" s="22" t="s">
        <v>77</v>
      </c>
      <c r="L112" s="24" t="s">
        <v>18</v>
      </c>
    </row>
    <row r="113" ht="45.0" customHeight="1">
      <c r="A113" s="11">
        <v>111.0</v>
      </c>
      <c r="B113" s="10" t="s">
        <v>410</v>
      </c>
      <c r="C113" s="10" t="s">
        <v>411</v>
      </c>
      <c r="D113" s="11" t="s">
        <v>353</v>
      </c>
      <c r="E113" s="11">
        <v>3.0</v>
      </c>
      <c r="F113" s="10" t="s">
        <v>568</v>
      </c>
      <c r="G113" s="10" t="s">
        <v>569</v>
      </c>
      <c r="H113" s="10" t="s">
        <v>51</v>
      </c>
      <c r="I113" s="10" t="s">
        <v>568</v>
      </c>
      <c r="J113" s="10" t="s">
        <v>218</v>
      </c>
      <c r="K113" s="15" t="s">
        <v>39</v>
      </c>
      <c r="L113" s="17" t="s">
        <v>12</v>
      </c>
    </row>
    <row r="114" ht="45.0" customHeight="1">
      <c r="A114" s="19">
        <v>112.0</v>
      </c>
      <c r="B114" s="18" t="s">
        <v>410</v>
      </c>
      <c r="C114" s="18" t="s">
        <v>411</v>
      </c>
      <c r="D114" s="19" t="s">
        <v>353</v>
      </c>
      <c r="E114" s="19">
        <v>4.0</v>
      </c>
      <c r="F114" s="18" t="s">
        <v>574</v>
      </c>
      <c r="G114" s="18" t="s">
        <v>575</v>
      </c>
      <c r="H114" s="18" t="s">
        <v>36</v>
      </c>
      <c r="I114" s="18" t="s">
        <v>574</v>
      </c>
      <c r="J114" s="18" t="s">
        <v>218</v>
      </c>
      <c r="K114" s="15" t="s">
        <v>39</v>
      </c>
      <c r="L114" s="17" t="s">
        <v>12</v>
      </c>
    </row>
    <row r="115" ht="45.0" customHeight="1">
      <c r="A115" s="11">
        <v>113.0</v>
      </c>
      <c r="B115" s="10" t="s">
        <v>410</v>
      </c>
      <c r="C115" s="10" t="s">
        <v>411</v>
      </c>
      <c r="D115" s="11" t="s">
        <v>353</v>
      </c>
      <c r="E115" s="11">
        <v>5.0</v>
      </c>
      <c r="F115" s="10" t="s">
        <v>580</v>
      </c>
      <c r="G115" s="10" t="s">
        <v>581</v>
      </c>
      <c r="H115" s="10" t="s">
        <v>36</v>
      </c>
      <c r="I115" s="10" t="s">
        <v>580</v>
      </c>
      <c r="J115" s="10" t="s">
        <v>218</v>
      </c>
      <c r="K115" s="15" t="s">
        <v>39</v>
      </c>
      <c r="L115" s="17" t="s">
        <v>12</v>
      </c>
    </row>
    <row r="116" ht="45.0" customHeight="1">
      <c r="A116" s="19">
        <v>114.0</v>
      </c>
      <c r="B116" s="18" t="s">
        <v>410</v>
      </c>
      <c r="C116" s="18" t="s">
        <v>411</v>
      </c>
      <c r="D116" s="19" t="s">
        <v>353</v>
      </c>
      <c r="E116" s="19">
        <v>6.0</v>
      </c>
      <c r="F116" s="18" t="s">
        <v>586</v>
      </c>
      <c r="G116" s="18" t="s">
        <v>587</v>
      </c>
      <c r="H116" s="18" t="s">
        <v>36</v>
      </c>
      <c r="I116" s="18" t="s">
        <v>586</v>
      </c>
      <c r="J116" s="18" t="s">
        <v>218</v>
      </c>
      <c r="K116" s="15" t="s">
        <v>39</v>
      </c>
      <c r="L116" s="17" t="s">
        <v>12</v>
      </c>
    </row>
    <row r="117" ht="57.75" customHeight="1">
      <c r="A117" s="11">
        <v>115.0</v>
      </c>
      <c r="B117" s="10" t="s">
        <v>410</v>
      </c>
      <c r="C117" s="10" t="s">
        <v>411</v>
      </c>
      <c r="D117" s="11" t="s">
        <v>353</v>
      </c>
      <c r="E117" s="11">
        <v>7.0</v>
      </c>
      <c r="F117" s="10" t="s">
        <v>593</v>
      </c>
      <c r="G117" s="10" t="s">
        <v>594</v>
      </c>
      <c r="H117" s="10" t="s">
        <v>36</v>
      </c>
      <c r="I117" s="10" t="s">
        <v>593</v>
      </c>
      <c r="J117" s="10" t="s">
        <v>218</v>
      </c>
      <c r="K117" s="22" t="s">
        <v>77</v>
      </c>
      <c r="L117" s="24" t="s">
        <v>18</v>
      </c>
    </row>
    <row r="118" ht="45.0" customHeight="1">
      <c r="A118" s="19">
        <v>116.0</v>
      </c>
      <c r="B118" s="18" t="s">
        <v>410</v>
      </c>
      <c r="C118" s="18" t="s">
        <v>411</v>
      </c>
      <c r="D118" s="19" t="s">
        <v>353</v>
      </c>
      <c r="E118" s="19">
        <v>8.0</v>
      </c>
      <c r="F118" s="18" t="s">
        <v>599</v>
      </c>
      <c r="G118" s="18" t="s">
        <v>600</v>
      </c>
      <c r="H118" s="18" t="s">
        <v>36</v>
      </c>
      <c r="I118" s="18" t="s">
        <v>599</v>
      </c>
      <c r="J118" s="18" t="s">
        <v>218</v>
      </c>
      <c r="K118" s="22" t="s">
        <v>77</v>
      </c>
      <c r="L118" s="24" t="s">
        <v>18</v>
      </c>
    </row>
    <row r="119" ht="57.75" customHeight="1">
      <c r="A119" s="11">
        <v>117.0</v>
      </c>
      <c r="B119" s="10" t="s">
        <v>410</v>
      </c>
      <c r="C119" s="10" t="s">
        <v>411</v>
      </c>
      <c r="D119" s="11" t="s">
        <v>353</v>
      </c>
      <c r="E119" s="11">
        <v>9.0</v>
      </c>
      <c r="F119" s="10" t="s">
        <v>605</v>
      </c>
      <c r="G119" s="10" t="s">
        <v>606</v>
      </c>
      <c r="H119" s="10" t="s">
        <v>36</v>
      </c>
      <c r="I119" s="10" t="s">
        <v>605</v>
      </c>
      <c r="J119" s="10" t="s">
        <v>218</v>
      </c>
      <c r="K119" s="22" t="s">
        <v>77</v>
      </c>
      <c r="L119" s="24" t="s">
        <v>18</v>
      </c>
    </row>
    <row r="120" ht="45.0" customHeight="1">
      <c r="A120" s="19">
        <v>118.0</v>
      </c>
      <c r="B120" s="18" t="s">
        <v>410</v>
      </c>
      <c r="C120" s="18" t="s">
        <v>411</v>
      </c>
      <c r="D120" s="19" t="s">
        <v>353</v>
      </c>
      <c r="E120" s="19">
        <v>10.0</v>
      </c>
      <c r="F120" s="18" t="s">
        <v>609</v>
      </c>
      <c r="G120" s="18" t="s">
        <v>610</v>
      </c>
      <c r="H120" s="18" t="s">
        <v>612</v>
      </c>
      <c r="I120" s="18" t="s">
        <v>609</v>
      </c>
      <c r="J120" s="18" t="s">
        <v>218</v>
      </c>
      <c r="K120" s="22" t="s">
        <v>77</v>
      </c>
      <c r="L120" s="24" t="s">
        <v>18</v>
      </c>
    </row>
    <row r="121" ht="45.0" customHeight="1">
      <c r="A121" s="11">
        <v>119.0</v>
      </c>
      <c r="B121" s="10" t="s">
        <v>410</v>
      </c>
      <c r="C121" s="10" t="s">
        <v>411</v>
      </c>
      <c r="D121" s="11" t="s">
        <v>353</v>
      </c>
      <c r="E121" s="11">
        <v>11.0</v>
      </c>
      <c r="F121" s="10" t="s">
        <v>616</v>
      </c>
      <c r="G121" s="10" t="s">
        <v>617</v>
      </c>
      <c r="H121" s="10" t="s">
        <v>36</v>
      </c>
      <c r="I121" s="10" t="s">
        <v>616</v>
      </c>
      <c r="J121" s="10" t="s">
        <v>218</v>
      </c>
      <c r="K121" s="22" t="s">
        <v>77</v>
      </c>
      <c r="L121" s="24" t="s">
        <v>18</v>
      </c>
    </row>
    <row r="122" ht="57.75" customHeight="1">
      <c r="A122" s="19">
        <v>120.0</v>
      </c>
      <c r="B122" s="18" t="s">
        <v>410</v>
      </c>
      <c r="C122" s="18" t="s">
        <v>411</v>
      </c>
      <c r="D122" s="19" t="s">
        <v>353</v>
      </c>
      <c r="E122" s="19">
        <v>12.0</v>
      </c>
      <c r="F122" s="18" t="s">
        <v>622</v>
      </c>
      <c r="G122" s="18" t="s">
        <v>623</v>
      </c>
      <c r="H122" s="18" t="s">
        <v>36</v>
      </c>
      <c r="I122" s="18" t="s">
        <v>622</v>
      </c>
      <c r="J122" s="18" t="s">
        <v>218</v>
      </c>
      <c r="K122" s="22" t="s">
        <v>77</v>
      </c>
      <c r="L122" s="24" t="s">
        <v>18</v>
      </c>
    </row>
    <row r="123" ht="57.75" customHeight="1">
      <c r="A123" s="11">
        <v>121.0</v>
      </c>
      <c r="B123" s="10" t="s">
        <v>410</v>
      </c>
      <c r="C123" s="10" t="s">
        <v>411</v>
      </c>
      <c r="D123" s="11" t="s">
        <v>353</v>
      </c>
      <c r="E123" s="11">
        <v>13.0</v>
      </c>
      <c r="F123" s="10" t="s">
        <v>626</v>
      </c>
      <c r="G123" s="10" t="s">
        <v>627</v>
      </c>
      <c r="H123" s="10" t="s">
        <v>36</v>
      </c>
      <c r="I123" s="10" t="s">
        <v>626</v>
      </c>
      <c r="J123" s="10" t="s">
        <v>218</v>
      </c>
      <c r="K123" s="22" t="s">
        <v>77</v>
      </c>
      <c r="L123" s="24" t="s">
        <v>18</v>
      </c>
    </row>
    <row r="124" ht="45.0" customHeight="1">
      <c r="A124" s="19">
        <v>122.0</v>
      </c>
      <c r="B124" s="18" t="s">
        <v>410</v>
      </c>
      <c r="C124" s="18" t="s">
        <v>411</v>
      </c>
      <c r="D124" s="19" t="s">
        <v>353</v>
      </c>
      <c r="E124" s="19">
        <v>14.0</v>
      </c>
      <c r="F124" s="18" t="s">
        <v>630</v>
      </c>
      <c r="G124" s="18" t="s">
        <v>631</v>
      </c>
      <c r="H124" s="18" t="s">
        <v>58</v>
      </c>
      <c r="I124" s="18" t="s">
        <v>630</v>
      </c>
      <c r="J124" s="18" t="s">
        <v>218</v>
      </c>
      <c r="K124" s="22" t="s">
        <v>77</v>
      </c>
      <c r="L124" s="24" t="s">
        <v>18</v>
      </c>
    </row>
    <row r="125" ht="45.0" customHeight="1">
      <c r="A125" s="11">
        <v>123.0</v>
      </c>
      <c r="B125" s="10" t="s">
        <v>410</v>
      </c>
      <c r="C125" s="10" t="s">
        <v>411</v>
      </c>
      <c r="D125" s="11" t="s">
        <v>353</v>
      </c>
      <c r="E125" s="11">
        <v>15.0</v>
      </c>
      <c r="F125" s="10" t="s">
        <v>635</v>
      </c>
      <c r="G125" s="10" t="s">
        <v>636</v>
      </c>
      <c r="H125" s="10" t="s">
        <v>637</v>
      </c>
      <c r="I125" s="10" t="s">
        <v>640</v>
      </c>
      <c r="J125" s="10" t="s">
        <v>218</v>
      </c>
      <c r="K125" s="22" t="s">
        <v>77</v>
      </c>
      <c r="L125" s="24" t="s">
        <v>18</v>
      </c>
    </row>
    <row r="126" ht="43.5" customHeight="1">
      <c r="A126" s="19">
        <v>124.0</v>
      </c>
      <c r="B126" s="18" t="s">
        <v>410</v>
      </c>
      <c r="C126" s="18" t="s">
        <v>411</v>
      </c>
      <c r="D126" s="19" t="s">
        <v>353</v>
      </c>
      <c r="E126" s="19">
        <v>16.0</v>
      </c>
      <c r="F126" s="18" t="s">
        <v>641</v>
      </c>
      <c r="G126" s="18" t="s">
        <v>642</v>
      </c>
      <c r="H126" s="18" t="s">
        <v>643</v>
      </c>
      <c r="I126" s="18" t="s">
        <v>644</v>
      </c>
      <c r="J126" s="18" t="s">
        <v>218</v>
      </c>
      <c r="K126" s="22" t="s">
        <v>77</v>
      </c>
      <c r="L126" s="24" t="s">
        <v>18</v>
      </c>
    </row>
    <row r="127" ht="45.0" customHeight="1">
      <c r="A127" s="11">
        <v>125.0</v>
      </c>
      <c r="B127" s="10" t="s">
        <v>439</v>
      </c>
      <c r="C127" s="10" t="s">
        <v>440</v>
      </c>
      <c r="D127" s="11" t="s">
        <v>353</v>
      </c>
      <c r="E127" s="11">
        <v>1.0</v>
      </c>
      <c r="F127" s="10" t="s">
        <v>645</v>
      </c>
      <c r="G127" s="10" t="s">
        <v>646</v>
      </c>
      <c r="H127" s="10" t="s">
        <v>36</v>
      </c>
      <c r="I127" s="10" t="s">
        <v>645</v>
      </c>
      <c r="J127" s="10" t="s">
        <v>108</v>
      </c>
      <c r="K127" s="22" t="s">
        <v>77</v>
      </c>
      <c r="L127" s="24" t="s">
        <v>18</v>
      </c>
    </row>
    <row r="128" ht="45.0" customHeight="1">
      <c r="A128" s="19">
        <v>126.0</v>
      </c>
      <c r="B128" s="18" t="s">
        <v>439</v>
      </c>
      <c r="C128" s="18" t="s">
        <v>440</v>
      </c>
      <c r="D128" s="19" t="s">
        <v>353</v>
      </c>
      <c r="E128" s="19">
        <v>2.0</v>
      </c>
      <c r="F128" s="18" t="s">
        <v>649</v>
      </c>
      <c r="G128" s="18" t="s">
        <v>650</v>
      </c>
      <c r="H128" s="18" t="s">
        <v>36</v>
      </c>
      <c r="I128" s="18" t="s">
        <v>649</v>
      </c>
      <c r="J128" s="18" t="s">
        <v>108</v>
      </c>
      <c r="K128" s="22" t="s">
        <v>77</v>
      </c>
      <c r="L128" s="24" t="s">
        <v>18</v>
      </c>
    </row>
    <row r="129" ht="45.0" customHeight="1">
      <c r="A129" s="11">
        <v>127.0</v>
      </c>
      <c r="B129" s="10" t="s">
        <v>439</v>
      </c>
      <c r="C129" s="10" t="s">
        <v>440</v>
      </c>
      <c r="D129" s="11" t="s">
        <v>353</v>
      </c>
      <c r="E129" s="11">
        <v>3.0</v>
      </c>
      <c r="F129" s="10" t="s">
        <v>651</v>
      </c>
      <c r="G129" s="10" t="s">
        <v>652</v>
      </c>
      <c r="H129" s="10" t="s">
        <v>36</v>
      </c>
      <c r="I129" s="10" t="s">
        <v>651</v>
      </c>
      <c r="J129" s="10" t="s">
        <v>108</v>
      </c>
      <c r="K129" s="22" t="s">
        <v>77</v>
      </c>
      <c r="L129" s="24" t="s">
        <v>18</v>
      </c>
    </row>
    <row r="130" ht="57.75" customHeight="1">
      <c r="A130" s="19">
        <v>128.0</v>
      </c>
      <c r="B130" s="18" t="s">
        <v>439</v>
      </c>
      <c r="C130" s="18" t="s">
        <v>440</v>
      </c>
      <c r="D130" s="19" t="s">
        <v>353</v>
      </c>
      <c r="E130" s="19">
        <v>4.0</v>
      </c>
      <c r="F130" s="18" t="s">
        <v>653</v>
      </c>
      <c r="G130" s="18" t="s">
        <v>654</v>
      </c>
      <c r="H130" s="18" t="s">
        <v>36</v>
      </c>
      <c r="I130" s="18" t="s">
        <v>653</v>
      </c>
      <c r="J130" s="18" t="s">
        <v>108</v>
      </c>
      <c r="K130" s="22" t="s">
        <v>77</v>
      </c>
      <c r="L130" s="24" t="s">
        <v>18</v>
      </c>
    </row>
    <row r="131" ht="57.75" customHeight="1">
      <c r="A131" s="11">
        <v>129.0</v>
      </c>
      <c r="B131" s="10" t="s">
        <v>439</v>
      </c>
      <c r="C131" s="10" t="s">
        <v>440</v>
      </c>
      <c r="D131" s="11" t="s">
        <v>353</v>
      </c>
      <c r="E131" s="11">
        <v>5.0</v>
      </c>
      <c r="F131" s="10" t="s">
        <v>655</v>
      </c>
      <c r="G131" s="10" t="s">
        <v>656</v>
      </c>
      <c r="H131" s="10" t="s">
        <v>36</v>
      </c>
      <c r="I131" s="10" t="s">
        <v>655</v>
      </c>
      <c r="J131" s="10" t="s">
        <v>108</v>
      </c>
      <c r="K131" s="22" t="s">
        <v>77</v>
      </c>
      <c r="L131" s="24" t="s">
        <v>18</v>
      </c>
    </row>
    <row r="132" ht="45.0" customHeight="1">
      <c r="A132" s="19">
        <v>130.0</v>
      </c>
      <c r="B132" s="18" t="s">
        <v>439</v>
      </c>
      <c r="C132" s="18" t="s">
        <v>440</v>
      </c>
      <c r="D132" s="19" t="s">
        <v>353</v>
      </c>
      <c r="E132" s="19">
        <v>6.0</v>
      </c>
      <c r="F132" s="18" t="s">
        <v>657</v>
      </c>
      <c r="G132" s="18" t="s">
        <v>658</v>
      </c>
      <c r="H132" s="18" t="s">
        <v>36</v>
      </c>
      <c r="I132" s="18" t="s">
        <v>657</v>
      </c>
      <c r="J132" s="18" t="s">
        <v>108</v>
      </c>
      <c r="K132" s="22" t="s">
        <v>77</v>
      </c>
      <c r="L132" s="24" t="s">
        <v>18</v>
      </c>
    </row>
    <row r="133" ht="45.0" customHeight="1">
      <c r="A133" s="11">
        <v>131.0</v>
      </c>
      <c r="B133" s="10" t="s">
        <v>439</v>
      </c>
      <c r="C133" s="10" t="s">
        <v>440</v>
      </c>
      <c r="D133" s="11" t="s">
        <v>353</v>
      </c>
      <c r="E133" s="11">
        <v>7.0</v>
      </c>
      <c r="F133" s="10" t="s">
        <v>599</v>
      </c>
      <c r="G133" s="10" t="s">
        <v>600</v>
      </c>
      <c r="H133" s="10" t="s">
        <v>36</v>
      </c>
      <c r="I133" s="10" t="s">
        <v>599</v>
      </c>
      <c r="J133" s="10" t="s">
        <v>108</v>
      </c>
      <c r="K133" s="22" t="s">
        <v>77</v>
      </c>
      <c r="L133" s="24" t="s">
        <v>18</v>
      </c>
    </row>
    <row r="134" ht="57.75" customHeight="1">
      <c r="A134" s="19">
        <v>132.0</v>
      </c>
      <c r="B134" s="18" t="s">
        <v>439</v>
      </c>
      <c r="C134" s="18" t="s">
        <v>440</v>
      </c>
      <c r="D134" s="19" t="s">
        <v>353</v>
      </c>
      <c r="E134" s="19">
        <v>8.0</v>
      </c>
      <c r="F134" s="18" t="s">
        <v>605</v>
      </c>
      <c r="G134" s="18" t="s">
        <v>606</v>
      </c>
      <c r="H134" s="18" t="s">
        <v>36</v>
      </c>
      <c r="I134" s="18" t="s">
        <v>605</v>
      </c>
      <c r="J134" s="18" t="s">
        <v>108</v>
      </c>
      <c r="K134" s="22" t="s">
        <v>77</v>
      </c>
      <c r="L134" s="24" t="s">
        <v>18</v>
      </c>
    </row>
    <row r="135" ht="45.0" customHeight="1">
      <c r="A135" s="11">
        <v>133.0</v>
      </c>
      <c r="B135" s="10" t="s">
        <v>439</v>
      </c>
      <c r="C135" s="10" t="s">
        <v>440</v>
      </c>
      <c r="D135" s="11" t="s">
        <v>353</v>
      </c>
      <c r="E135" s="11">
        <v>9.0</v>
      </c>
      <c r="F135" s="10" t="s">
        <v>609</v>
      </c>
      <c r="G135" s="10" t="s">
        <v>610</v>
      </c>
      <c r="H135" s="10" t="s">
        <v>612</v>
      </c>
      <c r="I135" s="10" t="s">
        <v>609</v>
      </c>
      <c r="J135" s="10" t="s">
        <v>108</v>
      </c>
      <c r="K135" s="22" t="s">
        <v>77</v>
      </c>
      <c r="L135" s="24" t="s">
        <v>18</v>
      </c>
    </row>
    <row r="136" ht="45.0" customHeight="1">
      <c r="A136" s="19">
        <v>134.0</v>
      </c>
      <c r="B136" s="18" t="s">
        <v>439</v>
      </c>
      <c r="C136" s="18" t="s">
        <v>440</v>
      </c>
      <c r="D136" s="19" t="s">
        <v>353</v>
      </c>
      <c r="E136" s="19">
        <v>10.0</v>
      </c>
      <c r="F136" s="18" t="s">
        <v>661</v>
      </c>
      <c r="G136" s="18" t="s">
        <v>662</v>
      </c>
      <c r="H136" s="18" t="s">
        <v>36</v>
      </c>
      <c r="I136" s="18" t="s">
        <v>661</v>
      </c>
      <c r="J136" s="18" t="s">
        <v>108</v>
      </c>
      <c r="K136" s="22" t="s">
        <v>77</v>
      </c>
      <c r="L136" s="24" t="s">
        <v>18</v>
      </c>
    </row>
    <row r="137" ht="57.75" customHeight="1">
      <c r="A137" s="11">
        <v>135.0</v>
      </c>
      <c r="B137" s="10" t="s">
        <v>439</v>
      </c>
      <c r="C137" s="10" t="s">
        <v>440</v>
      </c>
      <c r="D137" s="11" t="s">
        <v>353</v>
      </c>
      <c r="E137" s="11">
        <v>11.0</v>
      </c>
      <c r="F137" s="10" t="s">
        <v>663</v>
      </c>
      <c r="G137" s="10" t="s">
        <v>664</v>
      </c>
      <c r="H137" s="10" t="s">
        <v>58</v>
      </c>
      <c r="I137" s="10" t="s">
        <v>663</v>
      </c>
      <c r="J137" s="10" t="s">
        <v>108</v>
      </c>
      <c r="K137" s="22" t="s">
        <v>77</v>
      </c>
      <c r="L137" s="24" t="s">
        <v>18</v>
      </c>
    </row>
    <row r="138" ht="45.0" customHeight="1">
      <c r="A138" s="19">
        <v>136.0</v>
      </c>
      <c r="B138" s="18" t="s">
        <v>439</v>
      </c>
      <c r="C138" s="18" t="s">
        <v>440</v>
      </c>
      <c r="D138" s="19" t="s">
        <v>353</v>
      </c>
      <c r="E138" s="19">
        <v>12.0</v>
      </c>
      <c r="F138" s="18" t="s">
        <v>665</v>
      </c>
      <c r="G138" s="18" t="s">
        <v>666</v>
      </c>
      <c r="H138" s="18" t="s">
        <v>36</v>
      </c>
      <c r="I138" s="18" t="s">
        <v>665</v>
      </c>
      <c r="J138" s="18" t="s">
        <v>108</v>
      </c>
      <c r="K138" s="22" t="s">
        <v>77</v>
      </c>
      <c r="L138" s="24" t="s">
        <v>18</v>
      </c>
    </row>
    <row r="139" ht="45.0" customHeight="1">
      <c r="A139" s="11">
        <v>137.0</v>
      </c>
      <c r="B139" s="10" t="s">
        <v>439</v>
      </c>
      <c r="C139" s="10" t="s">
        <v>440</v>
      </c>
      <c r="D139" s="11" t="s">
        <v>353</v>
      </c>
      <c r="E139" s="11">
        <v>13.0</v>
      </c>
      <c r="F139" s="10" t="s">
        <v>667</v>
      </c>
      <c r="G139" s="10" t="s">
        <v>668</v>
      </c>
      <c r="H139" s="10" t="s">
        <v>669</v>
      </c>
      <c r="I139" s="10" t="s">
        <v>670</v>
      </c>
      <c r="J139" s="10" t="s">
        <v>266</v>
      </c>
      <c r="K139" s="22" t="s">
        <v>77</v>
      </c>
      <c r="L139" s="24" t="s">
        <v>18</v>
      </c>
    </row>
    <row r="140" ht="43.5" customHeight="1">
      <c r="A140" s="19">
        <v>138.0</v>
      </c>
      <c r="B140" s="18" t="s">
        <v>439</v>
      </c>
      <c r="C140" s="18" t="s">
        <v>440</v>
      </c>
      <c r="D140" s="19" t="s">
        <v>353</v>
      </c>
      <c r="E140" s="19">
        <v>14.0</v>
      </c>
      <c r="F140" s="18" t="s">
        <v>673</v>
      </c>
      <c r="G140" s="18" t="s">
        <v>674</v>
      </c>
      <c r="H140" s="18" t="s">
        <v>675</v>
      </c>
      <c r="I140" s="18" t="s">
        <v>676</v>
      </c>
      <c r="J140" s="18" t="s">
        <v>266</v>
      </c>
      <c r="K140" s="22" t="s">
        <v>77</v>
      </c>
      <c r="L140" s="24" t="s">
        <v>18</v>
      </c>
    </row>
    <row r="141" ht="45.0" customHeight="1">
      <c r="A141" s="11">
        <v>139.0</v>
      </c>
      <c r="B141" s="10" t="s">
        <v>439</v>
      </c>
      <c r="C141" s="10" t="s">
        <v>440</v>
      </c>
      <c r="D141" s="11" t="s">
        <v>353</v>
      </c>
      <c r="E141" s="11">
        <v>15.0</v>
      </c>
      <c r="F141" s="10" t="s">
        <v>677</v>
      </c>
      <c r="G141" s="10" t="s">
        <v>678</v>
      </c>
      <c r="H141" s="10" t="s">
        <v>679</v>
      </c>
      <c r="I141" s="10" t="s">
        <v>680</v>
      </c>
      <c r="J141" s="10" t="s">
        <v>266</v>
      </c>
      <c r="K141" s="22" t="s">
        <v>77</v>
      </c>
      <c r="L141" s="24" t="s">
        <v>18</v>
      </c>
    </row>
    <row r="142" ht="45.0" customHeight="1">
      <c r="A142" s="19">
        <v>140.0</v>
      </c>
      <c r="B142" s="18" t="s">
        <v>439</v>
      </c>
      <c r="C142" s="18" t="s">
        <v>440</v>
      </c>
      <c r="D142" s="19" t="s">
        <v>353</v>
      </c>
      <c r="E142" s="19">
        <v>16.0</v>
      </c>
      <c r="F142" s="18" t="s">
        <v>681</v>
      </c>
      <c r="G142" s="18" t="s">
        <v>682</v>
      </c>
      <c r="H142" s="18" t="s">
        <v>683</v>
      </c>
      <c r="I142" s="18" t="s">
        <v>684</v>
      </c>
      <c r="J142" s="18" t="s">
        <v>685</v>
      </c>
      <c r="K142" s="22" t="s">
        <v>77</v>
      </c>
      <c r="L142" s="24" t="s">
        <v>18</v>
      </c>
    </row>
    <row r="143" ht="45.0" customHeight="1">
      <c r="A143" s="11">
        <v>141.0</v>
      </c>
      <c r="B143" s="10" t="s">
        <v>439</v>
      </c>
      <c r="C143" s="10" t="s">
        <v>440</v>
      </c>
      <c r="D143" s="11" t="s">
        <v>353</v>
      </c>
      <c r="E143" s="11">
        <v>17.0</v>
      </c>
      <c r="F143" s="10" t="s">
        <v>686</v>
      </c>
      <c r="G143" s="10" t="s">
        <v>687</v>
      </c>
      <c r="H143" s="10" t="s">
        <v>688</v>
      </c>
      <c r="I143" s="10" t="s">
        <v>689</v>
      </c>
      <c r="J143" s="10" t="s">
        <v>685</v>
      </c>
      <c r="K143" s="22" t="s">
        <v>77</v>
      </c>
      <c r="L143" s="24" t="s">
        <v>18</v>
      </c>
    </row>
    <row r="144" ht="45.0" customHeight="1">
      <c r="A144" s="19">
        <v>142.0</v>
      </c>
      <c r="B144" s="18" t="s">
        <v>439</v>
      </c>
      <c r="C144" s="18" t="s">
        <v>440</v>
      </c>
      <c r="D144" s="19" t="s">
        <v>353</v>
      </c>
      <c r="E144" s="19">
        <v>18.0</v>
      </c>
      <c r="F144" s="18" t="s">
        <v>690</v>
      </c>
      <c r="G144" s="18" t="s">
        <v>691</v>
      </c>
      <c r="H144" s="18" t="s">
        <v>692</v>
      </c>
      <c r="I144" s="18" t="s">
        <v>693</v>
      </c>
      <c r="J144" s="18" t="s">
        <v>685</v>
      </c>
      <c r="K144" s="22" t="s">
        <v>77</v>
      </c>
      <c r="L144" s="24" t="s">
        <v>18</v>
      </c>
    </row>
    <row r="145" ht="57.75" customHeight="1">
      <c r="A145" s="11">
        <v>143.0</v>
      </c>
      <c r="B145" s="10" t="s">
        <v>461</v>
      </c>
      <c r="C145" s="10" t="s">
        <v>463</v>
      </c>
      <c r="D145" s="11" t="s">
        <v>694</v>
      </c>
      <c r="E145" s="11">
        <v>1.0</v>
      </c>
      <c r="F145" s="10" t="s">
        <v>696</v>
      </c>
      <c r="G145" s="10" t="s">
        <v>698</v>
      </c>
      <c r="H145" s="10" t="s">
        <v>36</v>
      </c>
      <c r="I145" s="10" t="s">
        <v>696</v>
      </c>
      <c r="J145" s="10" t="s">
        <v>218</v>
      </c>
      <c r="K145" s="22" t="s">
        <v>77</v>
      </c>
      <c r="L145" s="24" t="s">
        <v>18</v>
      </c>
    </row>
    <row r="146" ht="45.0" customHeight="1">
      <c r="A146" s="19">
        <v>144.0</v>
      </c>
      <c r="B146" s="18" t="s">
        <v>461</v>
      </c>
      <c r="C146" s="18" t="s">
        <v>463</v>
      </c>
      <c r="D146" s="19" t="s">
        <v>694</v>
      </c>
      <c r="E146" s="19">
        <v>2.0</v>
      </c>
      <c r="F146" s="18" t="s">
        <v>699</v>
      </c>
      <c r="G146" s="18" t="s">
        <v>700</v>
      </c>
      <c r="H146" s="18" t="s">
        <v>36</v>
      </c>
      <c r="I146" s="18" t="s">
        <v>699</v>
      </c>
      <c r="J146" s="18" t="s">
        <v>218</v>
      </c>
      <c r="K146" s="22" t="s">
        <v>77</v>
      </c>
      <c r="L146" s="24" t="s">
        <v>18</v>
      </c>
    </row>
    <row r="147" ht="45.0" customHeight="1">
      <c r="A147" s="11">
        <v>145.0</v>
      </c>
      <c r="B147" s="10" t="s">
        <v>461</v>
      </c>
      <c r="C147" s="10" t="s">
        <v>463</v>
      </c>
      <c r="D147" s="11" t="s">
        <v>694</v>
      </c>
      <c r="E147" s="11">
        <v>3.0</v>
      </c>
      <c r="F147" s="10" t="s">
        <v>701</v>
      </c>
      <c r="G147" s="10" t="s">
        <v>702</v>
      </c>
      <c r="H147" s="10" t="s">
        <v>51</v>
      </c>
      <c r="I147" s="10" t="s">
        <v>701</v>
      </c>
      <c r="J147" s="10" t="s">
        <v>218</v>
      </c>
      <c r="K147" s="22" t="s">
        <v>77</v>
      </c>
      <c r="L147" s="24" t="s">
        <v>18</v>
      </c>
    </row>
    <row r="148" ht="45.0" customHeight="1">
      <c r="A148" s="19">
        <v>146.0</v>
      </c>
      <c r="B148" s="18" t="s">
        <v>461</v>
      </c>
      <c r="C148" s="18" t="s">
        <v>463</v>
      </c>
      <c r="D148" s="19" t="s">
        <v>694</v>
      </c>
      <c r="E148" s="19">
        <v>4.0</v>
      </c>
      <c r="F148" s="18" t="s">
        <v>703</v>
      </c>
      <c r="G148" s="18" t="s">
        <v>704</v>
      </c>
      <c r="H148" s="18" t="s">
        <v>36</v>
      </c>
      <c r="I148" s="18" t="s">
        <v>703</v>
      </c>
      <c r="J148" s="18" t="s">
        <v>218</v>
      </c>
      <c r="K148" s="22" t="s">
        <v>77</v>
      </c>
      <c r="L148" s="24" t="s">
        <v>18</v>
      </c>
    </row>
    <row r="149" ht="45.0" customHeight="1">
      <c r="A149" s="11">
        <v>147.0</v>
      </c>
      <c r="B149" s="10" t="s">
        <v>461</v>
      </c>
      <c r="C149" s="10" t="s">
        <v>463</v>
      </c>
      <c r="D149" s="11" t="s">
        <v>694</v>
      </c>
      <c r="E149" s="11">
        <v>5.0</v>
      </c>
      <c r="F149" s="10" t="s">
        <v>705</v>
      </c>
      <c r="G149" s="10" t="s">
        <v>706</v>
      </c>
      <c r="H149" s="10" t="s">
        <v>36</v>
      </c>
      <c r="I149" s="10" t="s">
        <v>705</v>
      </c>
      <c r="J149" s="10" t="s">
        <v>218</v>
      </c>
      <c r="K149" s="22" t="s">
        <v>77</v>
      </c>
      <c r="L149" s="24" t="s">
        <v>18</v>
      </c>
    </row>
    <row r="150" ht="45.0" customHeight="1">
      <c r="A150" s="19">
        <v>148.0</v>
      </c>
      <c r="B150" s="18" t="s">
        <v>461</v>
      </c>
      <c r="C150" s="18" t="s">
        <v>463</v>
      </c>
      <c r="D150" s="19" t="s">
        <v>694</v>
      </c>
      <c r="E150" s="19">
        <v>6.0</v>
      </c>
      <c r="F150" s="18" t="s">
        <v>707</v>
      </c>
      <c r="G150" s="18" t="s">
        <v>708</v>
      </c>
      <c r="H150" s="18" t="s">
        <v>202</v>
      </c>
      <c r="I150" s="18" t="s">
        <v>707</v>
      </c>
      <c r="J150" s="18" t="s">
        <v>218</v>
      </c>
      <c r="K150" s="22" t="s">
        <v>77</v>
      </c>
      <c r="L150" s="24" t="s">
        <v>18</v>
      </c>
    </row>
    <row r="151" ht="45.0" customHeight="1">
      <c r="A151" s="11">
        <v>149.0</v>
      </c>
      <c r="B151" s="10" t="s">
        <v>461</v>
      </c>
      <c r="C151" s="10" t="s">
        <v>463</v>
      </c>
      <c r="D151" s="11" t="s">
        <v>694</v>
      </c>
      <c r="E151" s="11">
        <v>7.0</v>
      </c>
      <c r="F151" s="10" t="s">
        <v>709</v>
      </c>
      <c r="G151" s="10" t="s">
        <v>710</v>
      </c>
      <c r="H151" s="10" t="s">
        <v>36</v>
      </c>
      <c r="I151" s="10" t="s">
        <v>709</v>
      </c>
      <c r="J151" s="10" t="s">
        <v>218</v>
      </c>
      <c r="K151" s="22" t="s">
        <v>77</v>
      </c>
      <c r="L151" s="24" t="s">
        <v>18</v>
      </c>
    </row>
    <row r="152" ht="45.0" customHeight="1">
      <c r="A152" s="19">
        <v>150.0</v>
      </c>
      <c r="B152" s="18" t="s">
        <v>461</v>
      </c>
      <c r="C152" s="18" t="s">
        <v>463</v>
      </c>
      <c r="D152" s="19" t="s">
        <v>694</v>
      </c>
      <c r="E152" s="19">
        <v>8.0</v>
      </c>
      <c r="F152" s="18" t="s">
        <v>713</v>
      </c>
      <c r="G152" s="18" t="s">
        <v>714</v>
      </c>
      <c r="H152" s="18" t="s">
        <v>612</v>
      </c>
      <c r="I152" s="18" t="s">
        <v>713</v>
      </c>
      <c r="J152" s="18" t="s">
        <v>218</v>
      </c>
      <c r="K152" s="22" t="s">
        <v>77</v>
      </c>
      <c r="L152" s="24" t="s">
        <v>18</v>
      </c>
    </row>
    <row r="153" ht="57.75" customHeight="1">
      <c r="A153" s="11">
        <v>151.0</v>
      </c>
      <c r="B153" s="10" t="s">
        <v>461</v>
      </c>
      <c r="C153" s="10" t="s">
        <v>463</v>
      </c>
      <c r="D153" s="11" t="s">
        <v>694</v>
      </c>
      <c r="E153" s="11">
        <v>9.0</v>
      </c>
      <c r="F153" s="10" t="s">
        <v>715</v>
      </c>
      <c r="G153" s="10" t="s">
        <v>716</v>
      </c>
      <c r="H153" s="10" t="s">
        <v>717</v>
      </c>
      <c r="I153" s="10" t="s">
        <v>715</v>
      </c>
      <c r="J153" s="10" t="s">
        <v>218</v>
      </c>
      <c r="K153" s="22" t="s">
        <v>77</v>
      </c>
      <c r="L153" s="24" t="s">
        <v>18</v>
      </c>
    </row>
    <row r="154" ht="57.75" customHeight="1">
      <c r="A154" s="19">
        <v>152.0</v>
      </c>
      <c r="B154" s="18" t="s">
        <v>461</v>
      </c>
      <c r="C154" s="18" t="s">
        <v>463</v>
      </c>
      <c r="D154" s="19" t="s">
        <v>694</v>
      </c>
      <c r="E154" s="19">
        <v>10.0</v>
      </c>
      <c r="F154" s="18" t="s">
        <v>718</v>
      </c>
      <c r="G154" s="18" t="s">
        <v>719</v>
      </c>
      <c r="H154" s="18" t="s">
        <v>717</v>
      </c>
      <c r="I154" s="18" t="s">
        <v>718</v>
      </c>
      <c r="J154" s="18" t="s">
        <v>218</v>
      </c>
      <c r="K154" s="22" t="s">
        <v>77</v>
      </c>
      <c r="L154" s="24" t="s">
        <v>18</v>
      </c>
    </row>
    <row r="155" ht="45.0" customHeight="1">
      <c r="A155" s="11">
        <v>153.0</v>
      </c>
      <c r="B155" s="10" t="s">
        <v>461</v>
      </c>
      <c r="C155" s="10" t="s">
        <v>463</v>
      </c>
      <c r="D155" s="11" t="s">
        <v>694</v>
      </c>
      <c r="E155" s="11">
        <v>11.0</v>
      </c>
      <c r="F155" s="10" t="s">
        <v>720</v>
      </c>
      <c r="G155" s="10" t="s">
        <v>721</v>
      </c>
      <c r="H155" s="10" t="s">
        <v>717</v>
      </c>
      <c r="I155" s="10" t="s">
        <v>720</v>
      </c>
      <c r="J155" s="10" t="s">
        <v>218</v>
      </c>
      <c r="K155" s="22" t="s">
        <v>77</v>
      </c>
      <c r="L155" s="24" t="s">
        <v>18</v>
      </c>
    </row>
    <row r="156" ht="57.75" customHeight="1">
      <c r="A156" s="19">
        <v>154.0</v>
      </c>
      <c r="B156" s="18" t="s">
        <v>461</v>
      </c>
      <c r="C156" s="18" t="s">
        <v>463</v>
      </c>
      <c r="D156" s="19" t="s">
        <v>694</v>
      </c>
      <c r="E156" s="19">
        <v>12.0</v>
      </c>
      <c r="F156" s="18" t="s">
        <v>722</v>
      </c>
      <c r="G156" s="18" t="s">
        <v>723</v>
      </c>
      <c r="H156" s="18" t="s">
        <v>36</v>
      </c>
      <c r="I156" s="18" t="s">
        <v>722</v>
      </c>
      <c r="J156" s="18" t="s">
        <v>218</v>
      </c>
      <c r="K156" s="22" t="s">
        <v>77</v>
      </c>
      <c r="L156" s="24" t="s">
        <v>18</v>
      </c>
    </row>
    <row r="157" ht="57.75" customHeight="1">
      <c r="A157" s="11">
        <v>155.0</v>
      </c>
      <c r="B157" s="10" t="s">
        <v>461</v>
      </c>
      <c r="C157" s="10" t="s">
        <v>463</v>
      </c>
      <c r="D157" s="11" t="s">
        <v>694</v>
      </c>
      <c r="E157" s="11">
        <v>13.0</v>
      </c>
      <c r="F157" s="10" t="s">
        <v>724</v>
      </c>
      <c r="G157" s="10" t="s">
        <v>725</v>
      </c>
      <c r="H157" s="10" t="s">
        <v>58</v>
      </c>
      <c r="I157" s="10" t="s">
        <v>724</v>
      </c>
      <c r="J157" s="10" t="s">
        <v>218</v>
      </c>
      <c r="K157" s="22" t="s">
        <v>77</v>
      </c>
      <c r="L157" s="24" t="s">
        <v>18</v>
      </c>
    </row>
    <row r="158" ht="45.0" customHeight="1">
      <c r="A158" s="19">
        <v>156.0</v>
      </c>
      <c r="B158" s="18" t="s">
        <v>461</v>
      </c>
      <c r="C158" s="18" t="s">
        <v>463</v>
      </c>
      <c r="D158" s="19" t="s">
        <v>694</v>
      </c>
      <c r="E158" s="19">
        <v>14.0</v>
      </c>
      <c r="F158" s="18" t="s">
        <v>728</v>
      </c>
      <c r="G158" s="18" t="s">
        <v>729</v>
      </c>
      <c r="H158" s="18" t="s">
        <v>730</v>
      </c>
      <c r="I158" s="18" t="s">
        <v>731</v>
      </c>
      <c r="J158" s="18" t="s">
        <v>37</v>
      </c>
      <c r="K158" s="22" t="s">
        <v>77</v>
      </c>
      <c r="L158" s="24" t="s">
        <v>18</v>
      </c>
    </row>
    <row r="159" ht="45.0" customHeight="1">
      <c r="A159" s="11">
        <v>157.0</v>
      </c>
      <c r="B159" s="10" t="s">
        <v>461</v>
      </c>
      <c r="C159" s="10" t="s">
        <v>463</v>
      </c>
      <c r="D159" s="11" t="s">
        <v>694</v>
      </c>
      <c r="E159" s="11">
        <v>15.0</v>
      </c>
      <c r="F159" s="10" t="s">
        <v>732</v>
      </c>
      <c r="G159" s="10" t="s">
        <v>733</v>
      </c>
      <c r="H159" s="10" t="s">
        <v>734</v>
      </c>
      <c r="I159" s="10" t="s">
        <v>735</v>
      </c>
      <c r="J159" s="10" t="s">
        <v>37</v>
      </c>
      <c r="K159" s="22" t="s">
        <v>77</v>
      </c>
      <c r="L159" s="24" t="s">
        <v>18</v>
      </c>
    </row>
    <row r="160" ht="43.5" customHeight="1">
      <c r="A160" s="19">
        <v>158.0</v>
      </c>
      <c r="B160" s="18" t="s">
        <v>461</v>
      </c>
      <c r="C160" s="18" t="s">
        <v>463</v>
      </c>
      <c r="D160" s="19" t="s">
        <v>694</v>
      </c>
      <c r="E160" s="19">
        <v>16.0</v>
      </c>
      <c r="F160" s="18" t="s">
        <v>736</v>
      </c>
      <c r="G160" s="18" t="s">
        <v>737</v>
      </c>
      <c r="H160" s="18" t="s">
        <v>738</v>
      </c>
      <c r="I160" s="18" t="s">
        <v>739</v>
      </c>
      <c r="J160" s="18" t="s">
        <v>37</v>
      </c>
      <c r="K160" s="22" t="s">
        <v>77</v>
      </c>
      <c r="L160" s="24" t="s">
        <v>18</v>
      </c>
    </row>
    <row r="161" ht="45.0" customHeight="1">
      <c r="A161" s="11">
        <v>159.0</v>
      </c>
      <c r="B161" s="10" t="s">
        <v>504</v>
      </c>
      <c r="C161" s="10" t="s">
        <v>506</v>
      </c>
      <c r="D161" s="11" t="s">
        <v>694</v>
      </c>
      <c r="E161" s="11">
        <v>1.0</v>
      </c>
      <c r="F161" s="10" t="s">
        <v>740</v>
      </c>
      <c r="G161" s="10" t="s">
        <v>741</v>
      </c>
      <c r="H161" s="10" t="s">
        <v>36</v>
      </c>
      <c r="I161" s="10" t="s">
        <v>740</v>
      </c>
      <c r="J161" s="10" t="s">
        <v>108</v>
      </c>
      <c r="K161" s="22" t="s">
        <v>77</v>
      </c>
      <c r="L161" s="24" t="s">
        <v>18</v>
      </c>
    </row>
    <row r="162" ht="45.0" customHeight="1">
      <c r="A162" s="19">
        <v>160.0</v>
      </c>
      <c r="B162" s="18" t="s">
        <v>504</v>
      </c>
      <c r="C162" s="18" t="s">
        <v>506</v>
      </c>
      <c r="D162" s="19" t="s">
        <v>694</v>
      </c>
      <c r="E162" s="19">
        <v>2.0</v>
      </c>
      <c r="F162" s="18" t="s">
        <v>742</v>
      </c>
      <c r="G162" s="18" t="s">
        <v>743</v>
      </c>
      <c r="H162" s="18" t="s">
        <v>36</v>
      </c>
      <c r="I162" s="18" t="s">
        <v>742</v>
      </c>
      <c r="J162" s="18" t="s">
        <v>108</v>
      </c>
      <c r="K162" s="22" t="s">
        <v>77</v>
      </c>
      <c r="L162" s="24" t="s">
        <v>18</v>
      </c>
    </row>
    <row r="163" ht="45.0" customHeight="1">
      <c r="A163" s="11">
        <v>161.0</v>
      </c>
      <c r="B163" s="10" t="s">
        <v>504</v>
      </c>
      <c r="C163" s="10" t="s">
        <v>506</v>
      </c>
      <c r="D163" s="11" t="s">
        <v>694</v>
      </c>
      <c r="E163" s="11">
        <v>3.0</v>
      </c>
      <c r="F163" s="10" t="s">
        <v>744</v>
      </c>
      <c r="G163" s="10" t="s">
        <v>745</v>
      </c>
      <c r="H163" s="10" t="s">
        <v>202</v>
      </c>
      <c r="I163" s="10" t="s">
        <v>744</v>
      </c>
      <c r="J163" s="10" t="s">
        <v>108</v>
      </c>
      <c r="K163" s="22" t="s">
        <v>77</v>
      </c>
      <c r="L163" s="24" t="s">
        <v>18</v>
      </c>
    </row>
    <row r="164" ht="45.0" customHeight="1">
      <c r="A164" s="19">
        <v>162.0</v>
      </c>
      <c r="B164" s="18" t="s">
        <v>504</v>
      </c>
      <c r="C164" s="18" t="s">
        <v>506</v>
      </c>
      <c r="D164" s="19" t="s">
        <v>694</v>
      </c>
      <c r="E164" s="19">
        <v>4.0</v>
      </c>
      <c r="F164" s="18" t="s">
        <v>748</v>
      </c>
      <c r="G164" s="18" t="s">
        <v>749</v>
      </c>
      <c r="H164" s="18" t="s">
        <v>36</v>
      </c>
      <c r="I164" s="18" t="s">
        <v>748</v>
      </c>
      <c r="J164" s="18" t="s">
        <v>108</v>
      </c>
      <c r="K164" s="22" t="s">
        <v>77</v>
      </c>
      <c r="L164" s="24" t="s">
        <v>18</v>
      </c>
    </row>
    <row r="165" ht="45.0" customHeight="1">
      <c r="A165" s="11">
        <v>163.0</v>
      </c>
      <c r="B165" s="10" t="s">
        <v>504</v>
      </c>
      <c r="C165" s="10" t="s">
        <v>506</v>
      </c>
      <c r="D165" s="11" t="s">
        <v>694</v>
      </c>
      <c r="E165" s="11">
        <v>5.0</v>
      </c>
      <c r="F165" s="10" t="s">
        <v>750</v>
      </c>
      <c r="G165" s="10" t="s">
        <v>751</v>
      </c>
      <c r="H165" s="10" t="s">
        <v>612</v>
      </c>
      <c r="I165" s="10" t="s">
        <v>750</v>
      </c>
      <c r="J165" s="10" t="s">
        <v>108</v>
      </c>
      <c r="K165" s="22" t="s">
        <v>77</v>
      </c>
      <c r="L165" s="24" t="s">
        <v>18</v>
      </c>
    </row>
    <row r="166" ht="57.75" customHeight="1">
      <c r="A166" s="19">
        <v>164.0</v>
      </c>
      <c r="B166" s="18" t="s">
        <v>504</v>
      </c>
      <c r="C166" s="18" t="s">
        <v>506</v>
      </c>
      <c r="D166" s="19" t="s">
        <v>694</v>
      </c>
      <c r="E166" s="19">
        <v>6.0</v>
      </c>
      <c r="F166" s="18" t="s">
        <v>752</v>
      </c>
      <c r="G166" s="18" t="s">
        <v>753</v>
      </c>
      <c r="H166" s="18" t="s">
        <v>717</v>
      </c>
      <c r="I166" s="18" t="s">
        <v>752</v>
      </c>
      <c r="J166" s="18" t="s">
        <v>108</v>
      </c>
      <c r="K166" s="22" t="s">
        <v>77</v>
      </c>
      <c r="L166" s="24" t="s">
        <v>18</v>
      </c>
    </row>
    <row r="167" ht="57.75" customHeight="1">
      <c r="A167" s="11">
        <v>165.0</v>
      </c>
      <c r="B167" s="10" t="s">
        <v>504</v>
      </c>
      <c r="C167" s="10" t="s">
        <v>506</v>
      </c>
      <c r="D167" s="11" t="s">
        <v>694</v>
      </c>
      <c r="E167" s="11">
        <v>7.0</v>
      </c>
      <c r="F167" s="10" t="s">
        <v>718</v>
      </c>
      <c r="G167" s="10" t="s">
        <v>719</v>
      </c>
      <c r="H167" s="10" t="s">
        <v>717</v>
      </c>
      <c r="I167" s="10" t="s">
        <v>718</v>
      </c>
      <c r="J167" s="10" t="s">
        <v>108</v>
      </c>
      <c r="K167" s="22" t="s">
        <v>77</v>
      </c>
      <c r="L167" s="24" t="s">
        <v>18</v>
      </c>
    </row>
    <row r="168" ht="45.0" customHeight="1">
      <c r="A168" s="19">
        <v>166.0</v>
      </c>
      <c r="B168" s="18" t="s">
        <v>504</v>
      </c>
      <c r="C168" s="18" t="s">
        <v>506</v>
      </c>
      <c r="D168" s="19" t="s">
        <v>694</v>
      </c>
      <c r="E168" s="19">
        <v>8.0</v>
      </c>
      <c r="F168" s="18" t="s">
        <v>754</v>
      </c>
      <c r="G168" s="18" t="s">
        <v>755</v>
      </c>
      <c r="H168" s="18" t="s">
        <v>717</v>
      </c>
      <c r="I168" s="18" t="s">
        <v>754</v>
      </c>
      <c r="J168" s="18" t="s">
        <v>108</v>
      </c>
      <c r="K168" s="22" t="s">
        <v>77</v>
      </c>
      <c r="L168" s="24" t="s">
        <v>18</v>
      </c>
    </row>
    <row r="169" ht="57.75" customHeight="1">
      <c r="A169" s="11">
        <v>167.0</v>
      </c>
      <c r="B169" s="10" t="s">
        <v>504</v>
      </c>
      <c r="C169" s="10" t="s">
        <v>506</v>
      </c>
      <c r="D169" s="11" t="s">
        <v>694</v>
      </c>
      <c r="E169" s="11">
        <v>9.0</v>
      </c>
      <c r="F169" s="10" t="s">
        <v>663</v>
      </c>
      <c r="G169" s="10" t="s">
        <v>664</v>
      </c>
      <c r="H169" s="10" t="s">
        <v>58</v>
      </c>
      <c r="I169" s="10" t="s">
        <v>663</v>
      </c>
      <c r="J169" s="10" t="s">
        <v>108</v>
      </c>
      <c r="K169" s="22" t="s">
        <v>77</v>
      </c>
      <c r="L169" s="24" t="s">
        <v>18</v>
      </c>
    </row>
    <row r="170" ht="45.0" customHeight="1">
      <c r="A170" s="19">
        <v>168.0</v>
      </c>
      <c r="B170" s="18" t="s">
        <v>504</v>
      </c>
      <c r="C170" s="18" t="s">
        <v>506</v>
      </c>
      <c r="D170" s="19" t="s">
        <v>694</v>
      </c>
      <c r="E170" s="19">
        <v>10.0</v>
      </c>
      <c r="F170" s="18" t="s">
        <v>665</v>
      </c>
      <c r="G170" s="18" t="s">
        <v>666</v>
      </c>
      <c r="H170" s="18" t="s">
        <v>36</v>
      </c>
      <c r="I170" s="18" t="s">
        <v>665</v>
      </c>
      <c r="J170" s="18" t="s">
        <v>108</v>
      </c>
      <c r="K170" s="22" t="s">
        <v>77</v>
      </c>
      <c r="L170" s="24" t="s">
        <v>18</v>
      </c>
    </row>
    <row r="171" ht="45.0" customHeight="1">
      <c r="A171" s="11">
        <v>169.0</v>
      </c>
      <c r="B171" s="10" t="s">
        <v>504</v>
      </c>
      <c r="C171" s="10" t="s">
        <v>506</v>
      </c>
      <c r="D171" s="11" t="s">
        <v>694</v>
      </c>
      <c r="E171" s="11">
        <v>11.0</v>
      </c>
      <c r="F171" s="10" t="s">
        <v>758</v>
      </c>
      <c r="G171" s="10" t="s">
        <v>759</v>
      </c>
      <c r="H171" s="10" t="s">
        <v>760</v>
      </c>
      <c r="I171" s="10" t="s">
        <v>761</v>
      </c>
      <c r="J171" s="10" t="s">
        <v>266</v>
      </c>
      <c r="K171" s="22" t="s">
        <v>77</v>
      </c>
      <c r="L171" s="24" t="s">
        <v>18</v>
      </c>
    </row>
    <row r="172" ht="45.0" customHeight="1">
      <c r="A172" s="19">
        <v>170.0</v>
      </c>
      <c r="B172" s="18" t="s">
        <v>504</v>
      </c>
      <c r="C172" s="18" t="s">
        <v>506</v>
      </c>
      <c r="D172" s="19" t="s">
        <v>694</v>
      </c>
      <c r="E172" s="19">
        <v>12.0</v>
      </c>
      <c r="F172" s="18" t="s">
        <v>762</v>
      </c>
      <c r="G172" s="18" t="s">
        <v>763</v>
      </c>
      <c r="H172" s="18" t="s">
        <v>764</v>
      </c>
      <c r="I172" s="18" t="s">
        <v>765</v>
      </c>
      <c r="J172" s="18" t="s">
        <v>266</v>
      </c>
      <c r="K172" s="22" t="s">
        <v>77</v>
      </c>
      <c r="L172" s="24" t="s">
        <v>18</v>
      </c>
    </row>
    <row r="173" ht="45.0" customHeight="1">
      <c r="A173" s="11">
        <v>171.0</v>
      </c>
      <c r="B173" s="10" t="s">
        <v>504</v>
      </c>
      <c r="C173" s="10" t="s">
        <v>506</v>
      </c>
      <c r="D173" s="11" t="s">
        <v>694</v>
      </c>
      <c r="E173" s="11">
        <v>13.0</v>
      </c>
      <c r="F173" s="10" t="s">
        <v>766</v>
      </c>
      <c r="G173" s="10" t="s">
        <v>767</v>
      </c>
      <c r="H173" s="10" t="s">
        <v>768</v>
      </c>
      <c r="I173" s="10" t="s">
        <v>769</v>
      </c>
      <c r="J173" s="10" t="s">
        <v>266</v>
      </c>
      <c r="K173" s="22" t="s">
        <v>234</v>
      </c>
      <c r="L173" s="24" t="s">
        <v>18</v>
      </c>
    </row>
    <row r="174" ht="45.0" customHeight="1">
      <c r="A174" s="19">
        <v>172.0</v>
      </c>
      <c r="B174" s="18" t="s">
        <v>545</v>
      </c>
      <c r="C174" s="18" t="s">
        <v>547</v>
      </c>
      <c r="D174" s="19" t="s">
        <v>694</v>
      </c>
      <c r="E174" s="19">
        <v>1.0</v>
      </c>
      <c r="F174" s="18" t="s">
        <v>772</v>
      </c>
      <c r="G174" s="18" t="s">
        <v>773</v>
      </c>
      <c r="H174" s="18" t="s">
        <v>36</v>
      </c>
      <c r="I174" s="18" t="s">
        <v>772</v>
      </c>
      <c r="J174" s="18" t="s">
        <v>774</v>
      </c>
      <c r="K174" s="22" t="s">
        <v>77</v>
      </c>
      <c r="L174" s="24" t="s">
        <v>18</v>
      </c>
    </row>
    <row r="175" ht="45.0" customHeight="1">
      <c r="A175" s="11">
        <v>173.0</v>
      </c>
      <c r="B175" s="10" t="s">
        <v>545</v>
      </c>
      <c r="C175" s="10" t="s">
        <v>547</v>
      </c>
      <c r="D175" s="11" t="s">
        <v>694</v>
      </c>
      <c r="E175" s="11">
        <v>2.0</v>
      </c>
      <c r="F175" s="10" t="s">
        <v>775</v>
      </c>
      <c r="G175" s="10" t="s">
        <v>776</v>
      </c>
      <c r="H175" s="10" t="s">
        <v>36</v>
      </c>
      <c r="I175" s="10" t="s">
        <v>775</v>
      </c>
      <c r="J175" s="10" t="s">
        <v>774</v>
      </c>
      <c r="K175" s="22" t="s">
        <v>77</v>
      </c>
      <c r="L175" s="24" t="s">
        <v>18</v>
      </c>
    </row>
    <row r="176" ht="45.0" customHeight="1">
      <c r="A176" s="19">
        <v>174.0</v>
      </c>
      <c r="B176" s="18" t="s">
        <v>545</v>
      </c>
      <c r="C176" s="18" t="s">
        <v>547</v>
      </c>
      <c r="D176" s="19" t="s">
        <v>694</v>
      </c>
      <c r="E176" s="19">
        <v>3.0</v>
      </c>
      <c r="F176" s="18" t="s">
        <v>777</v>
      </c>
      <c r="G176" s="18" t="s">
        <v>778</v>
      </c>
      <c r="H176" s="18" t="s">
        <v>202</v>
      </c>
      <c r="I176" s="18" t="s">
        <v>777</v>
      </c>
      <c r="J176" s="18" t="s">
        <v>774</v>
      </c>
      <c r="K176" s="22" t="s">
        <v>77</v>
      </c>
      <c r="L176" s="24" t="s">
        <v>18</v>
      </c>
    </row>
    <row r="177" ht="45.0" customHeight="1">
      <c r="A177" s="11">
        <v>175.0</v>
      </c>
      <c r="B177" s="10" t="s">
        <v>545</v>
      </c>
      <c r="C177" s="10" t="s">
        <v>547</v>
      </c>
      <c r="D177" s="11" t="s">
        <v>694</v>
      </c>
      <c r="E177" s="11">
        <v>4.0</v>
      </c>
      <c r="F177" s="10" t="s">
        <v>779</v>
      </c>
      <c r="G177" s="10" t="s">
        <v>780</v>
      </c>
      <c r="H177" s="10" t="s">
        <v>202</v>
      </c>
      <c r="I177" s="10" t="s">
        <v>779</v>
      </c>
      <c r="J177" s="10" t="s">
        <v>774</v>
      </c>
      <c r="K177" s="22" t="s">
        <v>77</v>
      </c>
      <c r="L177" s="24" t="s">
        <v>18</v>
      </c>
    </row>
    <row r="178" ht="57.75" customHeight="1">
      <c r="A178" s="19">
        <v>176.0</v>
      </c>
      <c r="B178" s="18" t="s">
        <v>545</v>
      </c>
      <c r="C178" s="18" t="s">
        <v>547</v>
      </c>
      <c r="D178" s="19" t="s">
        <v>694</v>
      </c>
      <c r="E178" s="19">
        <v>5.0</v>
      </c>
      <c r="F178" s="18" t="s">
        <v>781</v>
      </c>
      <c r="G178" s="18" t="s">
        <v>782</v>
      </c>
      <c r="H178" s="18" t="s">
        <v>36</v>
      </c>
      <c r="I178" s="18" t="s">
        <v>781</v>
      </c>
      <c r="J178" s="18" t="s">
        <v>774</v>
      </c>
      <c r="K178" s="22" t="s">
        <v>77</v>
      </c>
      <c r="L178" s="24" t="s">
        <v>18</v>
      </c>
    </row>
    <row r="179" ht="45.0" customHeight="1">
      <c r="A179" s="11">
        <v>177.0</v>
      </c>
      <c r="B179" s="10" t="s">
        <v>545</v>
      </c>
      <c r="C179" s="10" t="s">
        <v>547</v>
      </c>
      <c r="D179" s="11" t="s">
        <v>694</v>
      </c>
      <c r="E179" s="11">
        <v>6.0</v>
      </c>
      <c r="F179" s="10" t="s">
        <v>783</v>
      </c>
      <c r="G179" s="10" t="s">
        <v>784</v>
      </c>
      <c r="H179" s="10" t="s">
        <v>36</v>
      </c>
      <c r="I179" s="10" t="s">
        <v>783</v>
      </c>
      <c r="J179" s="10" t="s">
        <v>774</v>
      </c>
      <c r="K179" s="22" t="s">
        <v>77</v>
      </c>
      <c r="L179" s="24" t="s">
        <v>18</v>
      </c>
    </row>
    <row r="180" ht="45.0" customHeight="1">
      <c r="A180" s="19">
        <v>178.0</v>
      </c>
      <c r="B180" s="18" t="s">
        <v>545</v>
      </c>
      <c r="C180" s="18" t="s">
        <v>547</v>
      </c>
      <c r="D180" s="19" t="s">
        <v>694</v>
      </c>
      <c r="E180" s="19">
        <v>7.0</v>
      </c>
      <c r="F180" s="18" t="s">
        <v>785</v>
      </c>
      <c r="G180" s="18" t="s">
        <v>786</v>
      </c>
      <c r="H180" s="18" t="s">
        <v>36</v>
      </c>
      <c r="I180" s="18" t="s">
        <v>785</v>
      </c>
      <c r="J180" s="18" t="s">
        <v>774</v>
      </c>
      <c r="K180" s="22" t="s">
        <v>77</v>
      </c>
      <c r="L180" s="24" t="s">
        <v>18</v>
      </c>
    </row>
    <row r="181" ht="45.0" customHeight="1">
      <c r="A181" s="11">
        <v>179.0</v>
      </c>
      <c r="B181" s="10" t="s">
        <v>545</v>
      </c>
      <c r="C181" s="10" t="s">
        <v>547</v>
      </c>
      <c r="D181" s="11" t="s">
        <v>694</v>
      </c>
      <c r="E181" s="11">
        <v>8.0</v>
      </c>
      <c r="F181" s="10" t="s">
        <v>789</v>
      </c>
      <c r="G181" s="10" t="s">
        <v>790</v>
      </c>
      <c r="H181" s="10" t="s">
        <v>36</v>
      </c>
      <c r="I181" s="10" t="s">
        <v>789</v>
      </c>
      <c r="J181" s="10" t="s">
        <v>774</v>
      </c>
      <c r="K181" s="22" t="s">
        <v>77</v>
      </c>
      <c r="L181" s="24" t="s">
        <v>18</v>
      </c>
    </row>
    <row r="182" ht="45.0" customHeight="1">
      <c r="A182" s="19">
        <v>180.0</v>
      </c>
      <c r="B182" s="18" t="s">
        <v>545</v>
      </c>
      <c r="C182" s="18" t="s">
        <v>547</v>
      </c>
      <c r="D182" s="19" t="s">
        <v>694</v>
      </c>
      <c r="E182" s="19">
        <v>9.0</v>
      </c>
      <c r="F182" s="18" t="s">
        <v>791</v>
      </c>
      <c r="G182" s="18" t="s">
        <v>792</v>
      </c>
      <c r="H182" s="18" t="s">
        <v>36</v>
      </c>
      <c r="I182" s="18" t="s">
        <v>791</v>
      </c>
      <c r="J182" s="18" t="s">
        <v>774</v>
      </c>
      <c r="K182" s="22" t="s">
        <v>77</v>
      </c>
      <c r="L182" s="24" t="s">
        <v>18</v>
      </c>
    </row>
    <row r="183" ht="57.75" customHeight="1">
      <c r="A183" s="11">
        <v>181.0</v>
      </c>
      <c r="B183" s="10" t="s">
        <v>545</v>
      </c>
      <c r="C183" s="10" t="s">
        <v>547</v>
      </c>
      <c r="D183" s="11" t="s">
        <v>694</v>
      </c>
      <c r="E183" s="11">
        <v>10.0</v>
      </c>
      <c r="F183" s="10" t="s">
        <v>793</v>
      </c>
      <c r="G183" s="10" t="s">
        <v>794</v>
      </c>
      <c r="H183" s="10" t="s">
        <v>36</v>
      </c>
      <c r="I183" s="10" t="s">
        <v>793</v>
      </c>
      <c r="J183" s="10" t="s">
        <v>774</v>
      </c>
      <c r="K183" s="22" t="s">
        <v>77</v>
      </c>
      <c r="L183" s="24" t="s">
        <v>18</v>
      </c>
    </row>
    <row r="184" ht="45.0" customHeight="1">
      <c r="A184" s="19">
        <v>182.0</v>
      </c>
      <c r="B184" s="18" t="s">
        <v>545</v>
      </c>
      <c r="C184" s="18" t="s">
        <v>547</v>
      </c>
      <c r="D184" s="19" t="s">
        <v>694</v>
      </c>
      <c r="E184" s="19">
        <v>11.0</v>
      </c>
      <c r="F184" s="18" t="s">
        <v>795</v>
      </c>
      <c r="G184" s="18" t="s">
        <v>796</v>
      </c>
      <c r="H184" s="18" t="s">
        <v>717</v>
      </c>
      <c r="I184" s="18" t="s">
        <v>795</v>
      </c>
      <c r="J184" s="18" t="s">
        <v>774</v>
      </c>
      <c r="K184" s="22" t="s">
        <v>77</v>
      </c>
      <c r="L184" s="24" t="s">
        <v>18</v>
      </c>
    </row>
    <row r="185" ht="45.0" customHeight="1">
      <c r="A185" s="11">
        <v>183.0</v>
      </c>
      <c r="B185" s="10" t="s">
        <v>545</v>
      </c>
      <c r="C185" s="10" t="s">
        <v>547</v>
      </c>
      <c r="D185" s="11" t="s">
        <v>694</v>
      </c>
      <c r="E185" s="11">
        <v>12.0</v>
      </c>
      <c r="F185" s="10" t="s">
        <v>797</v>
      </c>
      <c r="G185" s="10" t="s">
        <v>798</v>
      </c>
      <c r="H185" s="10" t="s">
        <v>36</v>
      </c>
      <c r="I185" s="10" t="s">
        <v>797</v>
      </c>
      <c r="J185" s="10" t="s">
        <v>774</v>
      </c>
      <c r="K185" s="22" t="s">
        <v>77</v>
      </c>
      <c r="L185" s="24" t="s">
        <v>18</v>
      </c>
    </row>
    <row r="186" ht="57.75" customHeight="1">
      <c r="A186" s="19">
        <v>184.0</v>
      </c>
      <c r="B186" s="18" t="s">
        <v>545</v>
      </c>
      <c r="C186" s="18" t="s">
        <v>547</v>
      </c>
      <c r="D186" s="19" t="s">
        <v>694</v>
      </c>
      <c r="E186" s="19">
        <v>13.0</v>
      </c>
      <c r="F186" s="18" t="s">
        <v>799</v>
      </c>
      <c r="G186" s="18" t="s">
        <v>800</v>
      </c>
      <c r="H186" s="18" t="s">
        <v>358</v>
      </c>
      <c r="I186" s="18" t="s">
        <v>799</v>
      </c>
      <c r="J186" s="18" t="s">
        <v>774</v>
      </c>
      <c r="K186" s="22" t="s">
        <v>77</v>
      </c>
      <c r="L186" s="24" t="s">
        <v>18</v>
      </c>
    </row>
    <row r="187" ht="45.0" customHeight="1">
      <c r="A187" s="11">
        <v>185.0</v>
      </c>
      <c r="B187" s="10" t="s">
        <v>545</v>
      </c>
      <c r="C187" s="10" t="s">
        <v>547</v>
      </c>
      <c r="D187" s="11" t="s">
        <v>694</v>
      </c>
      <c r="E187" s="11">
        <v>14.0</v>
      </c>
      <c r="F187" s="10" t="s">
        <v>803</v>
      </c>
      <c r="G187" s="10" t="s">
        <v>804</v>
      </c>
      <c r="H187" s="10" t="s">
        <v>358</v>
      </c>
      <c r="I187" s="10" t="s">
        <v>803</v>
      </c>
      <c r="J187" s="10" t="s">
        <v>774</v>
      </c>
      <c r="K187" s="22" t="s">
        <v>77</v>
      </c>
      <c r="L187" s="24" t="s">
        <v>18</v>
      </c>
    </row>
    <row r="188" ht="57.75" customHeight="1">
      <c r="A188" s="19">
        <v>186.0</v>
      </c>
      <c r="B188" s="18" t="s">
        <v>545</v>
      </c>
      <c r="C188" s="18" t="s">
        <v>547</v>
      </c>
      <c r="D188" s="19" t="s">
        <v>694</v>
      </c>
      <c r="E188" s="19">
        <v>15.0</v>
      </c>
      <c r="F188" s="18" t="s">
        <v>805</v>
      </c>
      <c r="G188" s="18" t="s">
        <v>806</v>
      </c>
      <c r="H188" s="18" t="s">
        <v>36</v>
      </c>
      <c r="I188" s="18" t="s">
        <v>805</v>
      </c>
      <c r="J188" s="18" t="s">
        <v>774</v>
      </c>
      <c r="K188" s="22" t="s">
        <v>77</v>
      </c>
      <c r="L188" s="24" t="s">
        <v>18</v>
      </c>
    </row>
    <row r="189" ht="45.0" customHeight="1">
      <c r="A189" s="11">
        <v>187.0</v>
      </c>
      <c r="B189" s="10" t="s">
        <v>545</v>
      </c>
      <c r="C189" s="10" t="s">
        <v>547</v>
      </c>
      <c r="D189" s="11" t="s">
        <v>694</v>
      </c>
      <c r="E189" s="11">
        <v>16.0</v>
      </c>
      <c r="F189" s="10" t="s">
        <v>807</v>
      </c>
      <c r="G189" s="10" t="s">
        <v>808</v>
      </c>
      <c r="H189" s="10" t="s">
        <v>58</v>
      </c>
      <c r="I189" s="10" t="s">
        <v>807</v>
      </c>
      <c r="J189" s="10" t="s">
        <v>774</v>
      </c>
      <c r="K189" s="22" t="s">
        <v>77</v>
      </c>
      <c r="L189" s="24" t="s">
        <v>18</v>
      </c>
    </row>
    <row r="190" ht="45.0" customHeight="1">
      <c r="A190" s="19">
        <v>188.0</v>
      </c>
      <c r="B190" s="18" t="s">
        <v>545</v>
      </c>
      <c r="C190" s="18" t="s">
        <v>547</v>
      </c>
      <c r="D190" s="19" t="s">
        <v>694</v>
      </c>
      <c r="E190" s="19">
        <v>17.0</v>
      </c>
      <c r="F190" s="18" t="s">
        <v>809</v>
      </c>
      <c r="G190" s="18" t="s">
        <v>810</v>
      </c>
      <c r="H190" s="18" t="s">
        <v>811</v>
      </c>
      <c r="I190" s="18" t="s">
        <v>812</v>
      </c>
      <c r="J190" s="18" t="s">
        <v>37</v>
      </c>
      <c r="K190" s="22" t="s">
        <v>77</v>
      </c>
      <c r="L190" s="24" t="s">
        <v>18</v>
      </c>
    </row>
    <row r="191" ht="45.0" customHeight="1">
      <c r="A191" s="11">
        <v>189.0</v>
      </c>
      <c r="B191" s="10" t="s">
        <v>545</v>
      </c>
      <c r="C191" s="10" t="s">
        <v>547</v>
      </c>
      <c r="D191" s="11" t="s">
        <v>694</v>
      </c>
      <c r="E191" s="11">
        <v>18.0</v>
      </c>
      <c r="F191" s="10" t="s">
        <v>813</v>
      </c>
      <c r="G191" s="10" t="s">
        <v>814</v>
      </c>
      <c r="H191" s="10" t="s">
        <v>815</v>
      </c>
      <c r="I191" s="10" t="s">
        <v>816</v>
      </c>
      <c r="J191" s="10" t="s">
        <v>37</v>
      </c>
      <c r="K191" s="22" t="s">
        <v>77</v>
      </c>
      <c r="L191" s="24" t="s">
        <v>18</v>
      </c>
    </row>
    <row r="192" ht="45.0" customHeight="1">
      <c r="A192" s="19">
        <v>190.0</v>
      </c>
      <c r="B192" s="18" t="s">
        <v>545</v>
      </c>
      <c r="C192" s="18" t="s">
        <v>547</v>
      </c>
      <c r="D192" s="19" t="s">
        <v>694</v>
      </c>
      <c r="E192" s="19">
        <v>19.0</v>
      </c>
      <c r="F192" s="18" t="s">
        <v>817</v>
      </c>
      <c r="G192" s="18" t="s">
        <v>818</v>
      </c>
      <c r="H192" s="18" t="s">
        <v>819</v>
      </c>
      <c r="I192" s="18" t="s">
        <v>820</v>
      </c>
      <c r="J192" s="18" t="s">
        <v>37</v>
      </c>
      <c r="K192" s="22" t="s">
        <v>77</v>
      </c>
      <c r="L192" s="24" t="s">
        <v>18</v>
      </c>
    </row>
    <row r="193" ht="45.0" customHeight="1">
      <c r="A193" s="11">
        <v>191.0</v>
      </c>
      <c r="B193" s="10" t="s">
        <v>545</v>
      </c>
      <c r="C193" s="10" t="s">
        <v>547</v>
      </c>
      <c r="D193" s="11" t="s">
        <v>694</v>
      </c>
      <c r="E193" s="11">
        <v>20.0</v>
      </c>
      <c r="F193" s="10" t="s">
        <v>822</v>
      </c>
      <c r="G193" s="10" t="s">
        <v>823</v>
      </c>
      <c r="H193" s="10" t="s">
        <v>824</v>
      </c>
      <c r="I193" s="10" t="s">
        <v>825</v>
      </c>
      <c r="J193" s="10" t="s">
        <v>37</v>
      </c>
      <c r="K193" s="22" t="s">
        <v>234</v>
      </c>
      <c r="L193" s="24" t="s">
        <v>18</v>
      </c>
    </row>
    <row r="194" ht="45.0" customHeight="1">
      <c r="A194" s="19">
        <v>192.0</v>
      </c>
      <c r="B194" s="18" t="s">
        <v>583</v>
      </c>
      <c r="C194" s="18" t="s">
        <v>584</v>
      </c>
      <c r="D194" s="19" t="s">
        <v>694</v>
      </c>
      <c r="E194" s="19">
        <v>1.0</v>
      </c>
      <c r="F194" s="18" t="s">
        <v>826</v>
      </c>
      <c r="G194" s="18" t="s">
        <v>827</v>
      </c>
      <c r="H194" s="18" t="s">
        <v>358</v>
      </c>
      <c r="I194" s="18" t="s">
        <v>826</v>
      </c>
      <c r="J194" s="18" t="s">
        <v>218</v>
      </c>
      <c r="K194" s="22" t="s">
        <v>77</v>
      </c>
      <c r="L194" s="24" t="s">
        <v>18</v>
      </c>
    </row>
    <row r="195" ht="57.75" customHeight="1">
      <c r="A195" s="11">
        <v>193.0</v>
      </c>
      <c r="B195" s="10" t="s">
        <v>583</v>
      </c>
      <c r="C195" s="10" t="s">
        <v>584</v>
      </c>
      <c r="D195" s="11" t="s">
        <v>694</v>
      </c>
      <c r="E195" s="11">
        <v>2.0</v>
      </c>
      <c r="F195" s="10" t="s">
        <v>828</v>
      </c>
      <c r="G195" s="10" t="s">
        <v>829</v>
      </c>
      <c r="H195" s="10" t="s">
        <v>358</v>
      </c>
      <c r="I195" s="10" t="s">
        <v>828</v>
      </c>
      <c r="J195" s="10" t="s">
        <v>218</v>
      </c>
      <c r="K195" s="22" t="s">
        <v>77</v>
      </c>
      <c r="L195" s="24" t="s">
        <v>18</v>
      </c>
    </row>
    <row r="196" ht="57.75" customHeight="1">
      <c r="A196" s="19">
        <v>194.0</v>
      </c>
      <c r="B196" s="18" t="s">
        <v>583</v>
      </c>
      <c r="C196" s="18" t="s">
        <v>584</v>
      </c>
      <c r="D196" s="19" t="s">
        <v>694</v>
      </c>
      <c r="E196" s="19">
        <v>3.0</v>
      </c>
      <c r="F196" s="18" t="s">
        <v>830</v>
      </c>
      <c r="G196" s="18" t="s">
        <v>831</v>
      </c>
      <c r="H196" s="18" t="s">
        <v>202</v>
      </c>
      <c r="I196" s="18" t="s">
        <v>830</v>
      </c>
      <c r="J196" s="18" t="s">
        <v>218</v>
      </c>
      <c r="K196" s="22" t="s">
        <v>77</v>
      </c>
      <c r="L196" s="24" t="s">
        <v>18</v>
      </c>
    </row>
    <row r="197" ht="45.0" customHeight="1">
      <c r="A197" s="11">
        <v>195.0</v>
      </c>
      <c r="B197" s="10" t="s">
        <v>583</v>
      </c>
      <c r="C197" s="10" t="s">
        <v>584</v>
      </c>
      <c r="D197" s="11" t="s">
        <v>694</v>
      </c>
      <c r="E197" s="11">
        <v>4.0</v>
      </c>
      <c r="F197" s="10" t="s">
        <v>832</v>
      </c>
      <c r="G197" s="10" t="s">
        <v>833</v>
      </c>
      <c r="H197" s="10" t="s">
        <v>36</v>
      </c>
      <c r="I197" s="10" t="s">
        <v>832</v>
      </c>
      <c r="J197" s="10" t="s">
        <v>218</v>
      </c>
      <c r="K197" s="22" t="s">
        <v>77</v>
      </c>
      <c r="L197" s="24" t="s">
        <v>18</v>
      </c>
    </row>
    <row r="198" ht="45.0" customHeight="1">
      <c r="A198" s="19">
        <v>196.0</v>
      </c>
      <c r="B198" s="18" t="s">
        <v>583</v>
      </c>
      <c r="C198" s="18" t="s">
        <v>584</v>
      </c>
      <c r="D198" s="19" t="s">
        <v>694</v>
      </c>
      <c r="E198" s="19">
        <v>5.0</v>
      </c>
      <c r="F198" s="18" t="s">
        <v>834</v>
      </c>
      <c r="G198" s="18" t="s">
        <v>835</v>
      </c>
      <c r="H198" s="18" t="s">
        <v>36</v>
      </c>
      <c r="I198" s="18" t="s">
        <v>834</v>
      </c>
      <c r="J198" s="18" t="s">
        <v>218</v>
      </c>
      <c r="K198" s="22" t="s">
        <v>77</v>
      </c>
      <c r="L198" s="24" t="s">
        <v>18</v>
      </c>
    </row>
    <row r="199" ht="45.0" customHeight="1">
      <c r="A199" s="11">
        <v>197.0</v>
      </c>
      <c r="B199" s="10" t="s">
        <v>583</v>
      </c>
      <c r="C199" s="10" t="s">
        <v>584</v>
      </c>
      <c r="D199" s="11" t="s">
        <v>694</v>
      </c>
      <c r="E199" s="11">
        <v>6.0</v>
      </c>
      <c r="F199" s="10" t="s">
        <v>836</v>
      </c>
      <c r="G199" s="10" t="s">
        <v>837</v>
      </c>
      <c r="H199" s="10" t="s">
        <v>51</v>
      </c>
      <c r="I199" s="10" t="s">
        <v>836</v>
      </c>
      <c r="J199" s="10" t="s">
        <v>218</v>
      </c>
      <c r="K199" s="22" t="s">
        <v>77</v>
      </c>
      <c r="L199" s="24" t="s">
        <v>18</v>
      </c>
    </row>
    <row r="200" ht="57.75" customHeight="1">
      <c r="A200" s="19">
        <v>198.0</v>
      </c>
      <c r="B200" s="18" t="s">
        <v>583</v>
      </c>
      <c r="C200" s="18" t="s">
        <v>584</v>
      </c>
      <c r="D200" s="19" t="s">
        <v>694</v>
      </c>
      <c r="E200" s="19">
        <v>7.0</v>
      </c>
      <c r="F200" s="18" t="s">
        <v>838</v>
      </c>
      <c r="G200" s="18" t="s">
        <v>839</v>
      </c>
      <c r="H200" s="18" t="s">
        <v>36</v>
      </c>
      <c r="I200" s="18" t="s">
        <v>838</v>
      </c>
      <c r="J200" s="18" t="s">
        <v>218</v>
      </c>
      <c r="K200" s="22" t="s">
        <v>77</v>
      </c>
      <c r="L200" s="24" t="s">
        <v>18</v>
      </c>
    </row>
    <row r="201" ht="57.75" customHeight="1">
      <c r="A201" s="11">
        <v>199.0</v>
      </c>
      <c r="B201" s="10" t="s">
        <v>583</v>
      </c>
      <c r="C201" s="10" t="s">
        <v>584</v>
      </c>
      <c r="D201" s="11" t="s">
        <v>694</v>
      </c>
      <c r="E201" s="11">
        <v>8.0</v>
      </c>
      <c r="F201" s="10" t="s">
        <v>840</v>
      </c>
      <c r="G201" s="10" t="s">
        <v>841</v>
      </c>
      <c r="H201" s="10" t="s">
        <v>36</v>
      </c>
      <c r="I201" s="10" t="s">
        <v>840</v>
      </c>
      <c r="J201" s="10" t="s">
        <v>218</v>
      </c>
      <c r="K201" s="22" t="s">
        <v>77</v>
      </c>
      <c r="L201" s="24" t="s">
        <v>18</v>
      </c>
    </row>
    <row r="202" ht="45.0" customHeight="1">
      <c r="A202" s="19">
        <v>200.0</v>
      </c>
      <c r="B202" s="18" t="s">
        <v>583</v>
      </c>
      <c r="C202" s="18" t="s">
        <v>584</v>
      </c>
      <c r="D202" s="19" t="s">
        <v>694</v>
      </c>
      <c r="E202" s="19">
        <v>9.0</v>
      </c>
      <c r="F202" s="18" t="s">
        <v>842</v>
      </c>
      <c r="G202" s="18" t="s">
        <v>843</v>
      </c>
      <c r="H202" s="18" t="s">
        <v>58</v>
      </c>
      <c r="I202" s="18" t="s">
        <v>842</v>
      </c>
      <c r="J202" s="18" t="s">
        <v>218</v>
      </c>
      <c r="K202" s="22" t="s">
        <v>77</v>
      </c>
      <c r="L202" s="24" t="s">
        <v>18</v>
      </c>
    </row>
    <row r="203" ht="45.0" customHeight="1">
      <c r="A203" s="11">
        <v>201.0</v>
      </c>
      <c r="B203" s="10" t="s">
        <v>583</v>
      </c>
      <c r="C203" s="10" t="s">
        <v>584</v>
      </c>
      <c r="D203" s="11" t="s">
        <v>694</v>
      </c>
      <c r="E203" s="11">
        <v>10.0</v>
      </c>
      <c r="F203" s="10" t="s">
        <v>844</v>
      </c>
      <c r="G203" s="10" t="s">
        <v>845</v>
      </c>
      <c r="H203" s="10" t="s">
        <v>846</v>
      </c>
      <c r="I203" s="10" t="s">
        <v>847</v>
      </c>
      <c r="J203" s="10" t="s">
        <v>685</v>
      </c>
      <c r="K203" s="22" t="s">
        <v>77</v>
      </c>
      <c r="L203" s="24" t="s">
        <v>18</v>
      </c>
    </row>
    <row r="204" ht="43.5" customHeight="1">
      <c r="A204" s="19">
        <v>202.0</v>
      </c>
      <c r="B204" s="18" t="s">
        <v>583</v>
      </c>
      <c r="C204" s="18" t="s">
        <v>584</v>
      </c>
      <c r="D204" s="19" t="s">
        <v>694</v>
      </c>
      <c r="E204" s="19">
        <v>11.0</v>
      </c>
      <c r="F204" s="18" t="s">
        <v>848</v>
      </c>
      <c r="G204" s="18" t="s">
        <v>849</v>
      </c>
      <c r="H204" s="18" t="s">
        <v>850</v>
      </c>
      <c r="I204" s="18" t="s">
        <v>851</v>
      </c>
      <c r="J204" s="18" t="s">
        <v>685</v>
      </c>
      <c r="K204" s="22" t="s">
        <v>77</v>
      </c>
      <c r="L204" s="24" t="s">
        <v>18</v>
      </c>
    </row>
    <row r="205" ht="43.5" customHeight="1">
      <c r="A205" s="11">
        <v>203.0</v>
      </c>
      <c r="B205" s="10" t="s">
        <v>618</v>
      </c>
      <c r="C205" s="10" t="s">
        <v>620</v>
      </c>
      <c r="D205" s="11" t="s">
        <v>852</v>
      </c>
      <c r="E205" s="11">
        <v>1.0</v>
      </c>
      <c r="F205" s="10" t="s">
        <v>853</v>
      </c>
      <c r="G205" s="10" t="s">
        <v>854</v>
      </c>
      <c r="H205" s="10" t="s">
        <v>855</v>
      </c>
      <c r="I205" s="10" t="s">
        <v>856</v>
      </c>
      <c r="J205" s="10" t="s">
        <v>108</v>
      </c>
      <c r="K205" s="22" t="s">
        <v>77</v>
      </c>
      <c r="L205" s="24" t="s">
        <v>18</v>
      </c>
    </row>
    <row r="206" ht="45.0" customHeight="1">
      <c r="A206" s="19">
        <v>204.0</v>
      </c>
      <c r="B206" s="18" t="s">
        <v>618</v>
      </c>
      <c r="C206" s="18" t="s">
        <v>620</v>
      </c>
      <c r="D206" s="19" t="s">
        <v>852</v>
      </c>
      <c r="E206" s="19">
        <v>2.0</v>
      </c>
      <c r="F206" s="18" t="s">
        <v>857</v>
      </c>
      <c r="G206" s="18" t="s">
        <v>858</v>
      </c>
      <c r="H206" s="18" t="s">
        <v>859</v>
      </c>
      <c r="I206" s="18" t="s">
        <v>860</v>
      </c>
      <c r="J206" s="18" t="s">
        <v>108</v>
      </c>
      <c r="K206" s="22" t="s">
        <v>77</v>
      </c>
      <c r="L206" s="24" t="s">
        <v>18</v>
      </c>
    </row>
    <row r="207" ht="43.5" customHeight="1">
      <c r="A207" s="11">
        <v>205.0</v>
      </c>
      <c r="B207" s="10" t="s">
        <v>618</v>
      </c>
      <c r="C207" s="10" t="s">
        <v>620</v>
      </c>
      <c r="D207" s="11" t="s">
        <v>852</v>
      </c>
      <c r="E207" s="11">
        <v>3.0</v>
      </c>
      <c r="F207" s="10" t="s">
        <v>861</v>
      </c>
      <c r="G207" s="10" t="s">
        <v>862</v>
      </c>
      <c r="H207" s="10" t="s">
        <v>863</v>
      </c>
      <c r="I207" s="10" t="s">
        <v>864</v>
      </c>
      <c r="J207" s="10" t="s">
        <v>108</v>
      </c>
      <c r="K207" s="22" t="s">
        <v>77</v>
      </c>
      <c r="L207" s="24" t="s">
        <v>18</v>
      </c>
    </row>
    <row r="208" ht="45.0" customHeight="1">
      <c r="A208" s="19">
        <v>206.0</v>
      </c>
      <c r="B208" s="18" t="s">
        <v>618</v>
      </c>
      <c r="C208" s="18" t="s">
        <v>620</v>
      </c>
      <c r="D208" s="19" t="s">
        <v>852</v>
      </c>
      <c r="E208" s="19">
        <v>4.0</v>
      </c>
      <c r="F208" s="18" t="s">
        <v>865</v>
      </c>
      <c r="G208" s="18" t="s">
        <v>866</v>
      </c>
      <c r="H208" s="18" t="s">
        <v>867</v>
      </c>
      <c r="I208" s="18" t="s">
        <v>868</v>
      </c>
      <c r="J208" s="18" t="s">
        <v>108</v>
      </c>
      <c r="K208" s="22" t="s">
        <v>77</v>
      </c>
      <c r="L208" s="24" t="s">
        <v>18</v>
      </c>
    </row>
    <row r="209" ht="43.5" customHeight="1">
      <c r="A209" s="11">
        <v>207.0</v>
      </c>
      <c r="B209" s="10" t="s">
        <v>618</v>
      </c>
      <c r="C209" s="10" t="s">
        <v>620</v>
      </c>
      <c r="D209" s="11" t="s">
        <v>852</v>
      </c>
      <c r="E209" s="11">
        <v>5.0</v>
      </c>
      <c r="F209" s="10" t="s">
        <v>869</v>
      </c>
      <c r="G209" s="10" t="s">
        <v>870</v>
      </c>
      <c r="H209" s="10" t="s">
        <v>871</v>
      </c>
      <c r="I209" s="10" t="s">
        <v>872</v>
      </c>
      <c r="J209" s="10" t="s">
        <v>108</v>
      </c>
      <c r="K209" s="22" t="s">
        <v>77</v>
      </c>
      <c r="L209" s="24" t="s">
        <v>18</v>
      </c>
    </row>
    <row r="210" ht="43.5" customHeight="1">
      <c r="A210" s="19">
        <v>208.0</v>
      </c>
      <c r="B210" s="18" t="s">
        <v>618</v>
      </c>
      <c r="C210" s="18" t="s">
        <v>620</v>
      </c>
      <c r="D210" s="19" t="s">
        <v>852</v>
      </c>
      <c r="E210" s="19">
        <v>6.0</v>
      </c>
      <c r="F210" s="18" t="s">
        <v>873</v>
      </c>
      <c r="G210" s="18" t="s">
        <v>874</v>
      </c>
      <c r="H210" s="18" t="s">
        <v>875</v>
      </c>
      <c r="I210" s="18" t="s">
        <v>876</v>
      </c>
      <c r="J210" s="18" t="s">
        <v>108</v>
      </c>
      <c r="K210" s="22" t="s">
        <v>77</v>
      </c>
      <c r="L210" s="24" t="s">
        <v>18</v>
      </c>
    </row>
    <row r="211" ht="43.5" customHeight="1">
      <c r="A211" s="11">
        <v>209.0</v>
      </c>
      <c r="B211" s="10" t="s">
        <v>647</v>
      </c>
      <c r="C211" s="10" t="s">
        <v>877</v>
      </c>
      <c r="D211" s="11" t="s">
        <v>852</v>
      </c>
      <c r="E211" s="11">
        <v>1.0</v>
      </c>
      <c r="F211" s="10" t="s">
        <v>878</v>
      </c>
      <c r="G211" s="10" t="s">
        <v>879</v>
      </c>
      <c r="H211" s="10" t="s">
        <v>880</v>
      </c>
      <c r="I211" s="10" t="s">
        <v>881</v>
      </c>
      <c r="J211" s="10" t="s">
        <v>218</v>
      </c>
      <c r="K211" s="22" t="s">
        <v>77</v>
      </c>
      <c r="L211" s="24" t="s">
        <v>18</v>
      </c>
    </row>
    <row r="212" ht="43.5" customHeight="1">
      <c r="A212" s="19">
        <v>210.0</v>
      </c>
      <c r="B212" s="18" t="s">
        <v>647</v>
      </c>
      <c r="C212" s="18" t="s">
        <v>877</v>
      </c>
      <c r="D212" s="19" t="s">
        <v>852</v>
      </c>
      <c r="E212" s="19">
        <v>2.0</v>
      </c>
      <c r="F212" s="18" t="s">
        <v>882</v>
      </c>
      <c r="G212" s="18" t="s">
        <v>883</v>
      </c>
      <c r="H212" s="18" t="s">
        <v>884</v>
      </c>
      <c r="I212" s="18" t="s">
        <v>885</v>
      </c>
      <c r="J212" s="18" t="s">
        <v>218</v>
      </c>
      <c r="K212" s="22" t="s">
        <v>77</v>
      </c>
      <c r="L212" s="24" t="s">
        <v>18</v>
      </c>
    </row>
    <row r="213" ht="45.0" customHeight="1">
      <c r="A213" s="11">
        <v>211.0</v>
      </c>
      <c r="B213" s="10" t="s">
        <v>647</v>
      </c>
      <c r="C213" s="10" t="s">
        <v>877</v>
      </c>
      <c r="D213" s="11" t="s">
        <v>852</v>
      </c>
      <c r="E213" s="11">
        <v>3.0</v>
      </c>
      <c r="F213" s="10" t="s">
        <v>886</v>
      </c>
      <c r="G213" s="10" t="s">
        <v>887</v>
      </c>
      <c r="H213" s="10" t="s">
        <v>888</v>
      </c>
      <c r="I213" s="10" t="s">
        <v>889</v>
      </c>
      <c r="J213" s="10" t="s">
        <v>218</v>
      </c>
      <c r="K213" s="22" t="s">
        <v>77</v>
      </c>
      <c r="L213" s="24" t="s">
        <v>18</v>
      </c>
    </row>
    <row r="214" ht="45.0" customHeight="1">
      <c r="A214" s="19">
        <v>212.0</v>
      </c>
      <c r="B214" s="18" t="s">
        <v>647</v>
      </c>
      <c r="C214" s="18" t="s">
        <v>877</v>
      </c>
      <c r="D214" s="19" t="s">
        <v>852</v>
      </c>
      <c r="E214" s="19">
        <v>4.0</v>
      </c>
      <c r="F214" s="18" t="s">
        <v>890</v>
      </c>
      <c r="G214" s="18" t="s">
        <v>891</v>
      </c>
      <c r="H214" s="18" t="s">
        <v>892</v>
      </c>
      <c r="I214" s="18" t="s">
        <v>893</v>
      </c>
      <c r="J214" s="18" t="s">
        <v>218</v>
      </c>
      <c r="K214" s="22" t="s">
        <v>77</v>
      </c>
      <c r="L214" s="24" t="s">
        <v>18</v>
      </c>
    </row>
    <row r="215" ht="43.5" customHeight="1">
      <c r="A215" s="11">
        <v>213.0</v>
      </c>
      <c r="B215" s="10" t="s">
        <v>647</v>
      </c>
      <c r="C215" s="10" t="s">
        <v>877</v>
      </c>
      <c r="D215" s="11" t="s">
        <v>852</v>
      </c>
      <c r="E215" s="11">
        <v>5.0</v>
      </c>
      <c r="F215" s="10" t="s">
        <v>894</v>
      </c>
      <c r="G215" s="10" t="s">
        <v>895</v>
      </c>
      <c r="H215" s="10" t="s">
        <v>896</v>
      </c>
      <c r="I215" s="10" t="s">
        <v>897</v>
      </c>
      <c r="J215" s="10" t="s">
        <v>218</v>
      </c>
      <c r="K215" s="22" t="s">
        <v>77</v>
      </c>
      <c r="L215" s="24" t="s">
        <v>18</v>
      </c>
    </row>
    <row r="216" ht="43.5" customHeight="1">
      <c r="A216" s="19">
        <v>214.0</v>
      </c>
      <c r="B216" s="18" t="s">
        <v>647</v>
      </c>
      <c r="C216" s="18" t="s">
        <v>877</v>
      </c>
      <c r="D216" s="19" t="s">
        <v>852</v>
      </c>
      <c r="E216" s="19">
        <v>6.0</v>
      </c>
      <c r="F216" s="18" t="s">
        <v>898</v>
      </c>
      <c r="G216" s="18" t="s">
        <v>899</v>
      </c>
      <c r="H216" s="18" t="s">
        <v>900</v>
      </c>
      <c r="I216" s="18" t="s">
        <v>901</v>
      </c>
      <c r="J216" s="18" t="s">
        <v>218</v>
      </c>
      <c r="K216" s="22" t="s">
        <v>902</v>
      </c>
      <c r="L216" s="24" t="s">
        <v>18</v>
      </c>
    </row>
    <row r="217" ht="45.0" customHeight="1">
      <c r="A217" s="11">
        <v>215.0</v>
      </c>
      <c r="B217" s="10" t="s">
        <v>647</v>
      </c>
      <c r="C217" s="10" t="s">
        <v>877</v>
      </c>
      <c r="D217" s="11" t="s">
        <v>852</v>
      </c>
      <c r="E217" s="11">
        <v>7.0</v>
      </c>
      <c r="F217" s="10" t="s">
        <v>903</v>
      </c>
      <c r="G217" s="10" t="s">
        <v>904</v>
      </c>
      <c r="H217" s="10" t="s">
        <v>905</v>
      </c>
      <c r="I217" s="10" t="s">
        <v>906</v>
      </c>
      <c r="J217" s="10" t="s">
        <v>218</v>
      </c>
      <c r="K217" s="22" t="s">
        <v>902</v>
      </c>
      <c r="L217" s="24" t="s">
        <v>18</v>
      </c>
    </row>
    <row r="218" ht="43.5" customHeight="1">
      <c r="A218" s="19">
        <v>216.0</v>
      </c>
      <c r="B218" s="18" t="s">
        <v>659</v>
      </c>
      <c r="C218" s="18" t="s">
        <v>660</v>
      </c>
      <c r="D218" s="19" t="s">
        <v>852</v>
      </c>
      <c r="E218" s="19">
        <v>1.0</v>
      </c>
      <c r="F218" s="18" t="s">
        <v>907</v>
      </c>
      <c r="G218" s="18" t="s">
        <v>908</v>
      </c>
      <c r="H218" s="18" t="s">
        <v>909</v>
      </c>
      <c r="I218" s="18" t="s">
        <v>910</v>
      </c>
      <c r="J218" s="18" t="s">
        <v>266</v>
      </c>
      <c r="K218" s="22" t="s">
        <v>77</v>
      </c>
      <c r="L218" s="24" t="s">
        <v>18</v>
      </c>
    </row>
    <row r="219" ht="43.5" customHeight="1">
      <c r="A219" s="11">
        <v>217.0</v>
      </c>
      <c r="B219" s="10" t="s">
        <v>659</v>
      </c>
      <c r="C219" s="10" t="s">
        <v>660</v>
      </c>
      <c r="D219" s="11" t="s">
        <v>852</v>
      </c>
      <c r="E219" s="11">
        <v>2.0</v>
      </c>
      <c r="F219" s="10" t="s">
        <v>911</v>
      </c>
      <c r="G219" s="10" t="s">
        <v>912</v>
      </c>
      <c r="H219" s="10" t="s">
        <v>913</v>
      </c>
      <c r="I219" s="10" t="s">
        <v>914</v>
      </c>
      <c r="J219" s="10" t="s">
        <v>266</v>
      </c>
      <c r="K219" s="22" t="s">
        <v>77</v>
      </c>
      <c r="L219" s="24" t="s">
        <v>18</v>
      </c>
    </row>
    <row r="220" ht="45.0" customHeight="1">
      <c r="A220" s="19">
        <v>218.0</v>
      </c>
      <c r="B220" s="18" t="s">
        <v>659</v>
      </c>
      <c r="C220" s="18" t="s">
        <v>660</v>
      </c>
      <c r="D220" s="19" t="s">
        <v>852</v>
      </c>
      <c r="E220" s="19">
        <v>3.0</v>
      </c>
      <c r="F220" s="18" t="s">
        <v>915</v>
      </c>
      <c r="G220" s="18" t="s">
        <v>916</v>
      </c>
      <c r="H220" s="18" t="s">
        <v>917</v>
      </c>
      <c r="I220" s="18" t="s">
        <v>918</v>
      </c>
      <c r="J220" s="18" t="s">
        <v>266</v>
      </c>
      <c r="K220" s="22" t="s">
        <v>77</v>
      </c>
      <c r="L220" s="24" t="s">
        <v>18</v>
      </c>
    </row>
    <row r="221" ht="43.5" customHeight="1">
      <c r="A221" s="11">
        <v>219.0</v>
      </c>
      <c r="B221" s="10" t="s">
        <v>659</v>
      </c>
      <c r="C221" s="10" t="s">
        <v>660</v>
      </c>
      <c r="D221" s="11" t="s">
        <v>852</v>
      </c>
      <c r="E221" s="11">
        <v>4.0</v>
      </c>
      <c r="F221" s="10" t="s">
        <v>919</v>
      </c>
      <c r="G221" s="10" t="s">
        <v>920</v>
      </c>
      <c r="H221" s="10" t="s">
        <v>921</v>
      </c>
      <c r="I221" s="10" t="s">
        <v>922</v>
      </c>
      <c r="J221" s="10" t="s">
        <v>266</v>
      </c>
      <c r="K221" s="22" t="s">
        <v>77</v>
      </c>
      <c r="L221" s="24" t="s">
        <v>18</v>
      </c>
    </row>
    <row r="222" ht="43.5" customHeight="1">
      <c r="A222" s="19">
        <v>220.0</v>
      </c>
      <c r="B222" s="18" t="s">
        <v>659</v>
      </c>
      <c r="C222" s="18" t="s">
        <v>660</v>
      </c>
      <c r="D222" s="19" t="s">
        <v>852</v>
      </c>
      <c r="E222" s="19">
        <v>5.0</v>
      </c>
      <c r="F222" s="18" t="s">
        <v>923</v>
      </c>
      <c r="G222" s="18" t="s">
        <v>924</v>
      </c>
      <c r="H222" s="18" t="s">
        <v>925</v>
      </c>
      <c r="I222" s="18" t="s">
        <v>926</v>
      </c>
      <c r="J222" s="18" t="s">
        <v>266</v>
      </c>
      <c r="K222" s="22" t="s">
        <v>77</v>
      </c>
      <c r="L222" s="24" t="s">
        <v>18</v>
      </c>
    </row>
    <row r="223" ht="43.5" customHeight="1">
      <c r="A223" s="11">
        <v>221.0</v>
      </c>
      <c r="B223" s="10" t="s">
        <v>659</v>
      </c>
      <c r="C223" s="10" t="s">
        <v>660</v>
      </c>
      <c r="D223" s="11" t="s">
        <v>852</v>
      </c>
      <c r="E223" s="11">
        <v>6.0</v>
      </c>
      <c r="F223" s="10" t="s">
        <v>927</v>
      </c>
      <c r="G223" s="10" t="s">
        <v>928</v>
      </c>
      <c r="H223" s="10" t="s">
        <v>929</v>
      </c>
      <c r="I223" s="10" t="s">
        <v>930</v>
      </c>
      <c r="J223" s="10" t="s">
        <v>266</v>
      </c>
      <c r="K223" s="22" t="s">
        <v>77</v>
      </c>
      <c r="L223" s="24" t="s">
        <v>18</v>
      </c>
    </row>
    <row r="224" ht="43.5" customHeight="1">
      <c r="A224" s="19">
        <v>222.0</v>
      </c>
      <c r="B224" s="18" t="s">
        <v>659</v>
      </c>
      <c r="C224" s="18" t="s">
        <v>660</v>
      </c>
      <c r="D224" s="19" t="s">
        <v>852</v>
      </c>
      <c r="E224" s="19">
        <v>7.0</v>
      </c>
      <c r="F224" s="18" t="s">
        <v>931</v>
      </c>
      <c r="G224" s="18" t="s">
        <v>932</v>
      </c>
      <c r="H224" s="18" t="s">
        <v>933</v>
      </c>
      <c r="I224" s="18" t="s">
        <v>934</v>
      </c>
      <c r="J224" s="18" t="s">
        <v>266</v>
      </c>
      <c r="K224" s="22" t="s">
        <v>77</v>
      </c>
      <c r="L224" s="24" t="s">
        <v>18</v>
      </c>
    </row>
    <row r="225" ht="43.5" customHeight="1">
      <c r="A225" s="11">
        <v>223.0</v>
      </c>
      <c r="B225" s="10" t="s">
        <v>671</v>
      </c>
      <c r="C225" s="10" t="s">
        <v>672</v>
      </c>
      <c r="D225" s="11" t="s">
        <v>852</v>
      </c>
      <c r="E225" s="11">
        <v>1.0</v>
      </c>
      <c r="F225" s="10" t="s">
        <v>935</v>
      </c>
      <c r="G225" s="10" t="s">
        <v>936</v>
      </c>
      <c r="H225" s="10" t="s">
        <v>937</v>
      </c>
      <c r="I225" s="10" t="s">
        <v>938</v>
      </c>
      <c r="J225" s="10" t="s">
        <v>266</v>
      </c>
      <c r="K225" s="22" t="s">
        <v>77</v>
      </c>
      <c r="L225" s="24" t="s">
        <v>18</v>
      </c>
    </row>
    <row r="226" ht="43.5" customHeight="1">
      <c r="A226" s="19">
        <v>224.0</v>
      </c>
      <c r="B226" s="18" t="s">
        <v>671</v>
      </c>
      <c r="C226" s="18" t="s">
        <v>672</v>
      </c>
      <c r="D226" s="19" t="s">
        <v>852</v>
      </c>
      <c r="E226" s="19">
        <v>2.0</v>
      </c>
      <c r="F226" s="18" t="s">
        <v>939</v>
      </c>
      <c r="G226" s="18" t="s">
        <v>940</v>
      </c>
      <c r="H226" s="18" t="s">
        <v>941</v>
      </c>
      <c r="I226" s="18" t="s">
        <v>942</v>
      </c>
      <c r="J226" s="18" t="s">
        <v>266</v>
      </c>
      <c r="K226" s="22" t="s">
        <v>77</v>
      </c>
      <c r="L226" s="24" t="s">
        <v>18</v>
      </c>
    </row>
    <row r="227" ht="43.5" customHeight="1">
      <c r="A227" s="11">
        <v>225.0</v>
      </c>
      <c r="B227" s="10" t="s">
        <v>671</v>
      </c>
      <c r="C227" s="10" t="s">
        <v>672</v>
      </c>
      <c r="D227" s="11" t="s">
        <v>852</v>
      </c>
      <c r="E227" s="11">
        <v>3.0</v>
      </c>
      <c r="F227" s="10" t="s">
        <v>943</v>
      </c>
      <c r="G227" s="10" t="s">
        <v>944</v>
      </c>
      <c r="H227" s="10" t="s">
        <v>945</v>
      </c>
      <c r="I227" s="10" t="s">
        <v>946</v>
      </c>
      <c r="J227" s="10" t="s">
        <v>266</v>
      </c>
      <c r="K227" s="22" t="s">
        <v>77</v>
      </c>
      <c r="L227" s="24" t="s">
        <v>18</v>
      </c>
    </row>
    <row r="228" ht="43.5" customHeight="1">
      <c r="A228" s="19">
        <v>226.0</v>
      </c>
      <c r="B228" s="18" t="s">
        <v>671</v>
      </c>
      <c r="C228" s="18" t="s">
        <v>672</v>
      </c>
      <c r="D228" s="19" t="s">
        <v>852</v>
      </c>
      <c r="E228" s="19">
        <v>4.0</v>
      </c>
      <c r="F228" s="18" t="s">
        <v>947</v>
      </c>
      <c r="G228" s="18" t="s">
        <v>948</v>
      </c>
      <c r="H228" s="18" t="s">
        <v>937</v>
      </c>
      <c r="I228" s="18" t="s">
        <v>949</v>
      </c>
      <c r="J228" s="18" t="s">
        <v>266</v>
      </c>
      <c r="K228" s="22" t="s">
        <v>77</v>
      </c>
      <c r="L228" s="24" t="s">
        <v>18</v>
      </c>
    </row>
    <row r="229" ht="43.5" customHeight="1">
      <c r="A229" s="11">
        <v>227.0</v>
      </c>
      <c r="B229" s="10" t="s">
        <v>671</v>
      </c>
      <c r="C229" s="10" t="s">
        <v>672</v>
      </c>
      <c r="D229" s="11" t="s">
        <v>852</v>
      </c>
      <c r="E229" s="11">
        <v>5.0</v>
      </c>
      <c r="F229" s="10" t="s">
        <v>950</v>
      </c>
      <c r="G229" s="10" t="s">
        <v>951</v>
      </c>
      <c r="H229" s="10" t="s">
        <v>952</v>
      </c>
      <c r="I229" s="10" t="s">
        <v>953</v>
      </c>
      <c r="J229" s="10" t="s">
        <v>266</v>
      </c>
      <c r="K229" s="22" t="s">
        <v>77</v>
      </c>
      <c r="L229" s="24" t="s">
        <v>18</v>
      </c>
    </row>
    <row r="230" ht="45.0" customHeight="1">
      <c r="A230" s="19">
        <v>228.0</v>
      </c>
      <c r="B230" s="18" t="s">
        <v>695</v>
      </c>
      <c r="C230" s="18" t="s">
        <v>697</v>
      </c>
      <c r="D230" s="19" t="s">
        <v>852</v>
      </c>
      <c r="E230" s="19">
        <v>1.0</v>
      </c>
      <c r="F230" s="18" t="s">
        <v>954</v>
      </c>
      <c r="G230" s="18" t="s">
        <v>955</v>
      </c>
      <c r="H230" s="18" t="s">
        <v>956</v>
      </c>
      <c r="I230" s="18" t="s">
        <v>957</v>
      </c>
      <c r="J230" s="18" t="s">
        <v>218</v>
      </c>
      <c r="K230" s="22" t="s">
        <v>77</v>
      </c>
      <c r="L230" s="24" t="s">
        <v>18</v>
      </c>
    </row>
    <row r="231" ht="43.5" customHeight="1">
      <c r="A231" s="11">
        <v>229.0</v>
      </c>
      <c r="B231" s="10" t="s">
        <v>695</v>
      </c>
      <c r="C231" s="10" t="s">
        <v>697</v>
      </c>
      <c r="D231" s="11" t="s">
        <v>852</v>
      </c>
      <c r="E231" s="11">
        <v>2.0</v>
      </c>
      <c r="F231" s="10" t="s">
        <v>958</v>
      </c>
      <c r="G231" s="10" t="s">
        <v>959</v>
      </c>
      <c r="H231" s="10" t="s">
        <v>960</v>
      </c>
      <c r="I231" s="10" t="s">
        <v>961</v>
      </c>
      <c r="J231" s="10" t="s">
        <v>218</v>
      </c>
      <c r="K231" s="22" t="s">
        <v>77</v>
      </c>
      <c r="L231" s="24" t="s">
        <v>18</v>
      </c>
    </row>
    <row r="232" ht="45.0" customHeight="1">
      <c r="A232" s="19">
        <v>230.0</v>
      </c>
      <c r="B232" s="18" t="s">
        <v>695</v>
      </c>
      <c r="C232" s="18" t="s">
        <v>697</v>
      </c>
      <c r="D232" s="19" t="s">
        <v>852</v>
      </c>
      <c r="E232" s="19">
        <v>3.0</v>
      </c>
      <c r="F232" s="18" t="s">
        <v>962</v>
      </c>
      <c r="G232" s="18" t="s">
        <v>963</v>
      </c>
      <c r="H232" s="18" t="s">
        <v>964</v>
      </c>
      <c r="I232" s="18" t="s">
        <v>965</v>
      </c>
      <c r="J232" s="18" t="s">
        <v>218</v>
      </c>
      <c r="K232" s="22" t="s">
        <v>77</v>
      </c>
      <c r="L232" s="24" t="s">
        <v>18</v>
      </c>
    </row>
    <row r="233" ht="45.0" customHeight="1">
      <c r="A233" s="11">
        <v>231.0</v>
      </c>
      <c r="B233" s="10" t="s">
        <v>695</v>
      </c>
      <c r="C233" s="10" t="s">
        <v>697</v>
      </c>
      <c r="D233" s="11" t="s">
        <v>852</v>
      </c>
      <c r="E233" s="11">
        <v>4.0</v>
      </c>
      <c r="F233" s="10" t="s">
        <v>966</v>
      </c>
      <c r="G233" s="10" t="s">
        <v>967</v>
      </c>
      <c r="H233" s="10" t="s">
        <v>968</v>
      </c>
      <c r="I233" s="10" t="s">
        <v>969</v>
      </c>
      <c r="J233" s="10" t="s">
        <v>218</v>
      </c>
      <c r="K233" s="22" t="s">
        <v>77</v>
      </c>
      <c r="L233" s="24" t="s">
        <v>18</v>
      </c>
    </row>
    <row r="234" ht="43.5" customHeight="1">
      <c r="A234" s="19">
        <v>232.0</v>
      </c>
      <c r="B234" s="18" t="s">
        <v>695</v>
      </c>
      <c r="C234" s="18" t="s">
        <v>697</v>
      </c>
      <c r="D234" s="19" t="s">
        <v>852</v>
      </c>
      <c r="E234" s="19">
        <v>5.0</v>
      </c>
      <c r="F234" s="18" t="s">
        <v>970</v>
      </c>
      <c r="G234" s="18" t="s">
        <v>971</v>
      </c>
      <c r="H234" s="18" t="s">
        <v>972</v>
      </c>
      <c r="I234" s="18" t="s">
        <v>973</v>
      </c>
      <c r="J234" s="18" t="s">
        <v>218</v>
      </c>
      <c r="K234" s="22" t="s">
        <v>77</v>
      </c>
      <c r="L234" s="24" t="s">
        <v>18</v>
      </c>
    </row>
    <row r="235" ht="43.5" customHeight="1">
      <c r="A235" s="11">
        <v>233.0</v>
      </c>
      <c r="B235" s="10" t="s">
        <v>695</v>
      </c>
      <c r="C235" s="10" t="s">
        <v>697</v>
      </c>
      <c r="D235" s="11" t="s">
        <v>852</v>
      </c>
      <c r="E235" s="11">
        <v>6.0</v>
      </c>
      <c r="F235" s="10" t="s">
        <v>974</v>
      </c>
      <c r="G235" s="10" t="s">
        <v>975</v>
      </c>
      <c r="H235" s="10" t="s">
        <v>976</v>
      </c>
      <c r="I235" s="10" t="s">
        <v>977</v>
      </c>
      <c r="J235" s="10" t="s">
        <v>218</v>
      </c>
      <c r="K235" s="22" t="s">
        <v>77</v>
      </c>
      <c r="L235" s="24" t="s">
        <v>18</v>
      </c>
    </row>
    <row r="236" ht="45.0" customHeight="1">
      <c r="A236" s="19">
        <v>234.0</v>
      </c>
      <c r="B236" s="18" t="s">
        <v>695</v>
      </c>
      <c r="C236" s="18" t="s">
        <v>697</v>
      </c>
      <c r="D236" s="19" t="s">
        <v>852</v>
      </c>
      <c r="E236" s="19">
        <v>7.0</v>
      </c>
      <c r="F236" s="18" t="s">
        <v>978</v>
      </c>
      <c r="G236" s="18" t="s">
        <v>979</v>
      </c>
      <c r="H236" s="18" t="s">
        <v>980</v>
      </c>
      <c r="I236" s="18" t="s">
        <v>981</v>
      </c>
      <c r="J236" s="18" t="s">
        <v>218</v>
      </c>
      <c r="K236" s="22" t="s">
        <v>234</v>
      </c>
      <c r="L236" s="24" t="s">
        <v>18</v>
      </c>
    </row>
    <row r="237" ht="45.0" customHeight="1">
      <c r="A237" s="11">
        <v>235.0</v>
      </c>
      <c r="B237" s="10" t="s">
        <v>711</v>
      </c>
      <c r="C237" s="10" t="s">
        <v>712</v>
      </c>
      <c r="D237" s="11" t="s">
        <v>852</v>
      </c>
      <c r="E237" s="11">
        <v>1.0</v>
      </c>
      <c r="F237" s="10" t="s">
        <v>982</v>
      </c>
      <c r="G237" s="10" t="s">
        <v>983</v>
      </c>
      <c r="H237" s="10" t="s">
        <v>984</v>
      </c>
      <c r="I237" s="10" t="s">
        <v>985</v>
      </c>
      <c r="J237" s="10" t="s">
        <v>218</v>
      </c>
      <c r="K237" s="22" t="s">
        <v>77</v>
      </c>
      <c r="L237" s="24" t="s">
        <v>18</v>
      </c>
    </row>
    <row r="238" ht="43.5" customHeight="1">
      <c r="A238" s="19">
        <v>236.0</v>
      </c>
      <c r="B238" s="18" t="s">
        <v>711</v>
      </c>
      <c r="C238" s="18" t="s">
        <v>712</v>
      </c>
      <c r="D238" s="19" t="s">
        <v>852</v>
      </c>
      <c r="E238" s="19">
        <v>2.0</v>
      </c>
      <c r="F238" s="18" t="s">
        <v>986</v>
      </c>
      <c r="G238" s="18" t="s">
        <v>987</v>
      </c>
      <c r="H238" s="18" t="s">
        <v>988</v>
      </c>
      <c r="I238" s="18" t="s">
        <v>989</v>
      </c>
      <c r="J238" s="18" t="s">
        <v>218</v>
      </c>
      <c r="K238" s="22" t="s">
        <v>77</v>
      </c>
      <c r="L238" s="24" t="s">
        <v>18</v>
      </c>
    </row>
    <row r="239" ht="43.5" customHeight="1">
      <c r="A239" s="11">
        <v>237.0</v>
      </c>
      <c r="B239" s="10" t="s">
        <v>711</v>
      </c>
      <c r="C239" s="10" t="s">
        <v>712</v>
      </c>
      <c r="D239" s="11" t="s">
        <v>852</v>
      </c>
      <c r="E239" s="11">
        <v>3.0</v>
      </c>
      <c r="F239" s="10" t="s">
        <v>990</v>
      </c>
      <c r="G239" s="10" t="s">
        <v>991</v>
      </c>
      <c r="H239" s="10" t="s">
        <v>992</v>
      </c>
      <c r="I239" s="10" t="s">
        <v>993</v>
      </c>
      <c r="J239" s="10" t="s">
        <v>218</v>
      </c>
      <c r="K239" s="22" t="s">
        <v>77</v>
      </c>
      <c r="L239" s="24" t="s">
        <v>18</v>
      </c>
    </row>
    <row r="240" ht="43.5" customHeight="1">
      <c r="A240" s="19">
        <v>238.0</v>
      </c>
      <c r="B240" s="18" t="s">
        <v>711</v>
      </c>
      <c r="C240" s="18" t="s">
        <v>712</v>
      </c>
      <c r="D240" s="19" t="s">
        <v>852</v>
      </c>
      <c r="E240" s="19">
        <v>4.0</v>
      </c>
      <c r="F240" s="18" t="s">
        <v>994</v>
      </c>
      <c r="G240" s="18" t="s">
        <v>995</v>
      </c>
      <c r="H240" s="18" t="s">
        <v>996</v>
      </c>
      <c r="I240" s="18" t="s">
        <v>997</v>
      </c>
      <c r="J240" s="18" t="s">
        <v>218</v>
      </c>
      <c r="K240" s="22" t="s">
        <v>77</v>
      </c>
      <c r="L240" s="24" t="s">
        <v>18</v>
      </c>
    </row>
    <row r="241" ht="43.5" customHeight="1">
      <c r="A241" s="11">
        <v>239.0</v>
      </c>
      <c r="B241" s="10" t="s">
        <v>711</v>
      </c>
      <c r="C241" s="10" t="s">
        <v>712</v>
      </c>
      <c r="D241" s="11" t="s">
        <v>852</v>
      </c>
      <c r="E241" s="11">
        <v>5.0</v>
      </c>
      <c r="F241" s="10" t="s">
        <v>998</v>
      </c>
      <c r="G241" s="10" t="s">
        <v>999</v>
      </c>
      <c r="H241" s="10" t="s">
        <v>1000</v>
      </c>
      <c r="I241" s="10" t="s">
        <v>1001</v>
      </c>
      <c r="J241" s="10" t="s">
        <v>218</v>
      </c>
      <c r="K241" s="22" t="s">
        <v>77</v>
      </c>
      <c r="L241" s="24" t="s">
        <v>18</v>
      </c>
    </row>
    <row r="242" ht="45.0" customHeight="1">
      <c r="A242" s="19">
        <v>240.0</v>
      </c>
      <c r="B242" s="18" t="s">
        <v>711</v>
      </c>
      <c r="C242" s="18" t="s">
        <v>712</v>
      </c>
      <c r="D242" s="19" t="s">
        <v>852</v>
      </c>
      <c r="E242" s="19">
        <v>6.0</v>
      </c>
      <c r="F242" s="18" t="s">
        <v>1002</v>
      </c>
      <c r="G242" s="18" t="s">
        <v>1003</v>
      </c>
      <c r="H242" s="18" t="s">
        <v>1004</v>
      </c>
      <c r="I242" s="18" t="s">
        <v>1005</v>
      </c>
      <c r="J242" s="18" t="s">
        <v>218</v>
      </c>
      <c r="K242" s="22" t="s">
        <v>77</v>
      </c>
      <c r="L242" s="24" t="s">
        <v>18</v>
      </c>
    </row>
    <row r="243" ht="45.0" customHeight="1">
      <c r="A243" s="11">
        <v>241.0</v>
      </c>
      <c r="B243" s="10" t="s">
        <v>711</v>
      </c>
      <c r="C243" s="10" t="s">
        <v>712</v>
      </c>
      <c r="D243" s="11" t="s">
        <v>852</v>
      </c>
      <c r="E243" s="11">
        <v>7.0</v>
      </c>
      <c r="F243" s="10" t="s">
        <v>1006</v>
      </c>
      <c r="G243" s="10" t="s">
        <v>1007</v>
      </c>
      <c r="H243" s="10" t="s">
        <v>960</v>
      </c>
      <c r="I243" s="10" t="s">
        <v>1008</v>
      </c>
      <c r="J243" s="10" t="s">
        <v>218</v>
      </c>
      <c r="K243" s="22" t="s">
        <v>77</v>
      </c>
      <c r="L243" s="24" t="s">
        <v>18</v>
      </c>
    </row>
    <row r="244" ht="43.5" customHeight="1">
      <c r="A244" s="19">
        <v>242.0</v>
      </c>
      <c r="B244" s="18" t="s">
        <v>726</v>
      </c>
      <c r="C244" s="18" t="s">
        <v>727</v>
      </c>
      <c r="D244" s="19" t="s">
        <v>852</v>
      </c>
      <c r="E244" s="19">
        <v>1.0</v>
      </c>
      <c r="F244" s="18" t="s">
        <v>1009</v>
      </c>
      <c r="G244" s="18" t="s">
        <v>1010</v>
      </c>
      <c r="H244" s="18" t="s">
        <v>1011</v>
      </c>
      <c r="I244" s="18" t="s">
        <v>1012</v>
      </c>
      <c r="J244" s="18" t="s">
        <v>218</v>
      </c>
      <c r="K244" s="22" t="s">
        <v>77</v>
      </c>
      <c r="L244" s="24" t="s">
        <v>18</v>
      </c>
    </row>
    <row r="245" ht="43.5" customHeight="1">
      <c r="A245" s="11">
        <v>243.0</v>
      </c>
      <c r="B245" s="10" t="s">
        <v>726</v>
      </c>
      <c r="C245" s="10" t="s">
        <v>727</v>
      </c>
      <c r="D245" s="11" t="s">
        <v>852</v>
      </c>
      <c r="E245" s="11">
        <v>2.0</v>
      </c>
      <c r="F245" s="10" t="s">
        <v>1013</v>
      </c>
      <c r="G245" s="10" t="s">
        <v>1014</v>
      </c>
      <c r="H245" s="10" t="s">
        <v>1015</v>
      </c>
      <c r="I245" s="10" t="s">
        <v>1016</v>
      </c>
      <c r="J245" s="10" t="s">
        <v>218</v>
      </c>
      <c r="K245" s="22" t="s">
        <v>77</v>
      </c>
      <c r="L245" s="24" t="s">
        <v>18</v>
      </c>
    </row>
    <row r="246" ht="43.5" customHeight="1">
      <c r="A246" s="19">
        <v>244.0</v>
      </c>
      <c r="B246" s="18" t="s">
        <v>726</v>
      </c>
      <c r="C246" s="18" t="s">
        <v>727</v>
      </c>
      <c r="D246" s="19" t="s">
        <v>852</v>
      </c>
      <c r="E246" s="19">
        <v>3.0</v>
      </c>
      <c r="F246" s="18" t="s">
        <v>1017</v>
      </c>
      <c r="G246" s="18" t="s">
        <v>1018</v>
      </c>
      <c r="H246" s="18" t="s">
        <v>1019</v>
      </c>
      <c r="I246" s="18" t="s">
        <v>1020</v>
      </c>
      <c r="J246" s="18" t="s">
        <v>218</v>
      </c>
      <c r="K246" s="22" t="s">
        <v>77</v>
      </c>
      <c r="L246" s="24" t="s">
        <v>18</v>
      </c>
    </row>
    <row r="247" ht="43.5" customHeight="1">
      <c r="A247" s="11">
        <v>245.0</v>
      </c>
      <c r="B247" s="10" t="s">
        <v>726</v>
      </c>
      <c r="C247" s="10" t="s">
        <v>727</v>
      </c>
      <c r="D247" s="11" t="s">
        <v>852</v>
      </c>
      <c r="E247" s="11">
        <v>4.0</v>
      </c>
      <c r="F247" s="10" t="s">
        <v>1021</v>
      </c>
      <c r="G247" s="10" t="s">
        <v>1022</v>
      </c>
      <c r="H247" s="10" t="s">
        <v>960</v>
      </c>
      <c r="I247" s="10" t="s">
        <v>1023</v>
      </c>
      <c r="J247" s="10" t="s">
        <v>218</v>
      </c>
      <c r="K247" s="22" t="s">
        <v>77</v>
      </c>
      <c r="L247" s="24" t="s">
        <v>18</v>
      </c>
    </row>
    <row r="248" ht="43.5" customHeight="1">
      <c r="A248" s="19">
        <v>246.0</v>
      </c>
      <c r="B248" s="18" t="s">
        <v>726</v>
      </c>
      <c r="C248" s="18" t="s">
        <v>727</v>
      </c>
      <c r="D248" s="19" t="s">
        <v>852</v>
      </c>
      <c r="E248" s="19">
        <v>5.0</v>
      </c>
      <c r="F248" s="18" t="s">
        <v>1024</v>
      </c>
      <c r="G248" s="18" t="s">
        <v>1025</v>
      </c>
      <c r="H248" s="18" t="s">
        <v>1026</v>
      </c>
      <c r="I248" s="18" t="s">
        <v>1027</v>
      </c>
      <c r="J248" s="18" t="s">
        <v>218</v>
      </c>
      <c r="K248" s="22" t="s">
        <v>77</v>
      </c>
      <c r="L248" s="24" t="s">
        <v>18</v>
      </c>
    </row>
    <row r="249" ht="43.5" customHeight="1">
      <c r="A249" s="11">
        <v>247.0</v>
      </c>
      <c r="B249" s="10" t="s">
        <v>726</v>
      </c>
      <c r="C249" s="10" t="s">
        <v>727</v>
      </c>
      <c r="D249" s="11" t="s">
        <v>852</v>
      </c>
      <c r="E249" s="11">
        <v>6.0</v>
      </c>
      <c r="F249" s="10" t="s">
        <v>1028</v>
      </c>
      <c r="G249" s="10" t="s">
        <v>975</v>
      </c>
      <c r="H249" s="10" t="s">
        <v>976</v>
      </c>
      <c r="I249" s="10" t="s">
        <v>1029</v>
      </c>
      <c r="J249" s="10" t="s">
        <v>218</v>
      </c>
      <c r="K249" s="22" t="s">
        <v>77</v>
      </c>
      <c r="L249" s="24" t="s">
        <v>18</v>
      </c>
    </row>
    <row r="250" ht="45.0" customHeight="1">
      <c r="A250" s="19">
        <v>248.0</v>
      </c>
      <c r="B250" s="18" t="s">
        <v>746</v>
      </c>
      <c r="C250" s="18" t="s">
        <v>747</v>
      </c>
      <c r="D250" s="19" t="s">
        <v>852</v>
      </c>
      <c r="E250" s="19">
        <v>1.0</v>
      </c>
      <c r="F250" s="18" t="s">
        <v>1030</v>
      </c>
      <c r="G250" s="18" t="s">
        <v>1031</v>
      </c>
      <c r="H250" s="18" t="s">
        <v>1032</v>
      </c>
      <c r="I250" s="18" t="s">
        <v>1033</v>
      </c>
      <c r="J250" s="18" t="s">
        <v>108</v>
      </c>
      <c r="K250" s="22" t="s">
        <v>234</v>
      </c>
      <c r="L250" s="24" t="s">
        <v>18</v>
      </c>
    </row>
    <row r="251" ht="45.0" customHeight="1">
      <c r="A251" s="11">
        <v>249.0</v>
      </c>
      <c r="B251" s="10" t="s">
        <v>746</v>
      </c>
      <c r="C251" s="10" t="s">
        <v>747</v>
      </c>
      <c r="D251" s="11" t="s">
        <v>852</v>
      </c>
      <c r="E251" s="11">
        <v>2.0</v>
      </c>
      <c r="F251" s="10" t="s">
        <v>1034</v>
      </c>
      <c r="G251" s="10" t="s">
        <v>1035</v>
      </c>
      <c r="H251" s="10" t="s">
        <v>1036</v>
      </c>
      <c r="I251" s="10" t="s">
        <v>1037</v>
      </c>
      <c r="J251" s="10" t="s">
        <v>108</v>
      </c>
      <c r="K251" s="22" t="s">
        <v>234</v>
      </c>
      <c r="L251" s="24" t="s">
        <v>18</v>
      </c>
    </row>
    <row r="252" ht="45.0" customHeight="1">
      <c r="A252" s="19">
        <v>250.0</v>
      </c>
      <c r="B252" s="18" t="s">
        <v>746</v>
      </c>
      <c r="C252" s="18" t="s">
        <v>747</v>
      </c>
      <c r="D252" s="19" t="s">
        <v>852</v>
      </c>
      <c r="E252" s="19">
        <v>3.0</v>
      </c>
      <c r="F252" s="18" t="s">
        <v>1038</v>
      </c>
      <c r="G252" s="18" t="s">
        <v>1039</v>
      </c>
      <c r="H252" s="18" t="s">
        <v>1040</v>
      </c>
      <c r="I252" s="18" t="s">
        <v>1041</v>
      </c>
      <c r="J252" s="18" t="s">
        <v>108</v>
      </c>
      <c r="K252" s="22" t="s">
        <v>234</v>
      </c>
      <c r="L252" s="24" t="s">
        <v>18</v>
      </c>
    </row>
    <row r="253" ht="45.0" customHeight="1">
      <c r="A253" s="11">
        <v>251.0</v>
      </c>
      <c r="B253" s="10" t="s">
        <v>746</v>
      </c>
      <c r="C253" s="10" t="s">
        <v>747</v>
      </c>
      <c r="D253" s="11" t="s">
        <v>852</v>
      </c>
      <c r="E253" s="11">
        <v>4.0</v>
      </c>
      <c r="F253" s="10" t="s">
        <v>1042</v>
      </c>
      <c r="G253" s="10" t="s">
        <v>1043</v>
      </c>
      <c r="H253" s="10" t="s">
        <v>1044</v>
      </c>
      <c r="I253" s="10" t="s">
        <v>1045</v>
      </c>
      <c r="J253" s="10" t="s">
        <v>108</v>
      </c>
      <c r="K253" s="22" t="s">
        <v>234</v>
      </c>
      <c r="L253" s="24" t="s">
        <v>18</v>
      </c>
    </row>
    <row r="254" ht="45.0" customHeight="1">
      <c r="A254" s="19">
        <v>252.0</v>
      </c>
      <c r="B254" s="18" t="s">
        <v>756</v>
      </c>
      <c r="C254" s="18" t="s">
        <v>1046</v>
      </c>
      <c r="D254" s="19" t="s">
        <v>852</v>
      </c>
      <c r="E254" s="19">
        <v>1.0</v>
      </c>
      <c r="F254" s="18" t="s">
        <v>1047</v>
      </c>
      <c r="G254" s="18" t="s">
        <v>1048</v>
      </c>
      <c r="H254" s="18" t="s">
        <v>1049</v>
      </c>
      <c r="I254" s="18" t="s">
        <v>1050</v>
      </c>
      <c r="J254" s="18" t="s">
        <v>108</v>
      </c>
      <c r="K254" s="22" t="s">
        <v>234</v>
      </c>
      <c r="L254" s="24" t="s">
        <v>18</v>
      </c>
    </row>
    <row r="255" ht="45.0" customHeight="1">
      <c r="A255" s="11">
        <v>253.0</v>
      </c>
      <c r="B255" s="10" t="s">
        <v>756</v>
      </c>
      <c r="C255" s="10" t="s">
        <v>1046</v>
      </c>
      <c r="D255" s="11" t="s">
        <v>852</v>
      </c>
      <c r="E255" s="11">
        <v>2.0</v>
      </c>
      <c r="F255" s="10" t="s">
        <v>1051</v>
      </c>
      <c r="G255" s="10" t="s">
        <v>1052</v>
      </c>
      <c r="H255" s="10" t="s">
        <v>1053</v>
      </c>
      <c r="I255" s="10" t="s">
        <v>1054</v>
      </c>
      <c r="J255" s="10" t="s">
        <v>108</v>
      </c>
      <c r="K255" s="22" t="s">
        <v>234</v>
      </c>
      <c r="L255" s="24" t="s">
        <v>18</v>
      </c>
    </row>
    <row r="256" ht="45.0" customHeight="1">
      <c r="A256" s="19">
        <v>254.0</v>
      </c>
      <c r="B256" s="18" t="s">
        <v>756</v>
      </c>
      <c r="C256" s="18" t="s">
        <v>1046</v>
      </c>
      <c r="D256" s="19" t="s">
        <v>852</v>
      </c>
      <c r="E256" s="19">
        <v>3.0</v>
      </c>
      <c r="F256" s="18" t="s">
        <v>1055</v>
      </c>
      <c r="G256" s="18" t="s">
        <v>1056</v>
      </c>
      <c r="H256" s="18" t="s">
        <v>1057</v>
      </c>
      <c r="I256" s="18" t="s">
        <v>1058</v>
      </c>
      <c r="J256" s="18" t="s">
        <v>108</v>
      </c>
      <c r="K256" s="22" t="s">
        <v>234</v>
      </c>
      <c r="L256" s="24" t="s">
        <v>18</v>
      </c>
    </row>
    <row r="257" ht="45.0" customHeight="1">
      <c r="A257" s="11">
        <v>255.0</v>
      </c>
      <c r="B257" s="10" t="s">
        <v>756</v>
      </c>
      <c r="C257" s="10" t="s">
        <v>1046</v>
      </c>
      <c r="D257" s="11" t="s">
        <v>852</v>
      </c>
      <c r="E257" s="11">
        <v>4.0</v>
      </c>
      <c r="F257" s="10" t="s">
        <v>1059</v>
      </c>
      <c r="G257" s="10" t="s">
        <v>1060</v>
      </c>
      <c r="H257" s="10" t="s">
        <v>1061</v>
      </c>
      <c r="I257" s="10" t="s">
        <v>1062</v>
      </c>
      <c r="J257" s="10" t="s">
        <v>108</v>
      </c>
      <c r="K257" s="22" t="s">
        <v>234</v>
      </c>
      <c r="L257" s="24" t="s">
        <v>18</v>
      </c>
    </row>
    <row r="258" ht="45.0" customHeight="1">
      <c r="A258" s="19">
        <v>256.0</v>
      </c>
      <c r="B258" s="18" t="s">
        <v>756</v>
      </c>
      <c r="C258" s="18" t="s">
        <v>1046</v>
      </c>
      <c r="D258" s="19" t="s">
        <v>852</v>
      </c>
      <c r="E258" s="19">
        <v>5.0</v>
      </c>
      <c r="F258" s="18" t="s">
        <v>1063</v>
      </c>
      <c r="G258" s="18" t="s">
        <v>1064</v>
      </c>
      <c r="H258" s="18" t="s">
        <v>1061</v>
      </c>
      <c r="I258" s="18" t="s">
        <v>1065</v>
      </c>
      <c r="J258" s="18" t="s">
        <v>108</v>
      </c>
      <c r="K258" s="22" t="s">
        <v>234</v>
      </c>
      <c r="L258" s="24" t="s">
        <v>18</v>
      </c>
    </row>
    <row r="259" ht="45.0" customHeight="1">
      <c r="A259" s="11">
        <v>257.0</v>
      </c>
      <c r="B259" s="10" t="s">
        <v>756</v>
      </c>
      <c r="C259" s="10" t="s">
        <v>1046</v>
      </c>
      <c r="D259" s="11" t="s">
        <v>852</v>
      </c>
      <c r="E259" s="11">
        <v>6.0</v>
      </c>
      <c r="F259" s="10" t="s">
        <v>1066</v>
      </c>
      <c r="G259" s="10" t="s">
        <v>1067</v>
      </c>
      <c r="H259" s="10" t="s">
        <v>1068</v>
      </c>
      <c r="I259" s="10" t="s">
        <v>1069</v>
      </c>
      <c r="J259" s="10" t="s">
        <v>685</v>
      </c>
      <c r="K259" s="22" t="s">
        <v>234</v>
      </c>
      <c r="L259" s="24" t="s">
        <v>18</v>
      </c>
    </row>
    <row r="260" ht="45.0" customHeight="1">
      <c r="A260" s="19">
        <v>258.0</v>
      </c>
      <c r="B260" s="18" t="s">
        <v>770</v>
      </c>
      <c r="C260" s="18" t="s">
        <v>771</v>
      </c>
      <c r="D260" s="19" t="s">
        <v>852</v>
      </c>
      <c r="E260" s="19">
        <v>1.0</v>
      </c>
      <c r="F260" s="18" t="s">
        <v>1070</v>
      </c>
      <c r="G260" s="18" t="s">
        <v>1071</v>
      </c>
      <c r="H260" s="18" t="s">
        <v>1068</v>
      </c>
      <c r="I260" s="18" t="s">
        <v>1072</v>
      </c>
      <c r="J260" s="18" t="s">
        <v>108</v>
      </c>
      <c r="K260" s="22" t="s">
        <v>234</v>
      </c>
      <c r="L260" s="24" t="s">
        <v>18</v>
      </c>
    </row>
    <row r="261" ht="45.0" customHeight="1">
      <c r="A261" s="11">
        <v>259.0</v>
      </c>
      <c r="B261" s="10" t="s">
        <v>770</v>
      </c>
      <c r="C261" s="10" t="s">
        <v>771</v>
      </c>
      <c r="D261" s="11" t="s">
        <v>852</v>
      </c>
      <c r="E261" s="11">
        <v>2.0</v>
      </c>
      <c r="F261" s="10" t="s">
        <v>1073</v>
      </c>
      <c r="G261" s="10" t="s">
        <v>1074</v>
      </c>
      <c r="H261" s="10" t="s">
        <v>1075</v>
      </c>
      <c r="I261" s="10" t="s">
        <v>1076</v>
      </c>
      <c r="J261" s="10" t="s">
        <v>108</v>
      </c>
      <c r="K261" s="22" t="s">
        <v>234</v>
      </c>
      <c r="L261" s="24" t="s">
        <v>18</v>
      </c>
    </row>
    <row r="262" ht="45.0" customHeight="1">
      <c r="A262" s="19">
        <v>260.0</v>
      </c>
      <c r="B262" s="18" t="s">
        <v>770</v>
      </c>
      <c r="C262" s="18" t="s">
        <v>771</v>
      </c>
      <c r="D262" s="19" t="s">
        <v>852</v>
      </c>
      <c r="E262" s="19">
        <v>3.0</v>
      </c>
      <c r="F262" s="18" t="s">
        <v>1077</v>
      </c>
      <c r="G262" s="18" t="s">
        <v>1078</v>
      </c>
      <c r="H262" s="18" t="s">
        <v>960</v>
      </c>
      <c r="I262" s="18" t="s">
        <v>1079</v>
      </c>
      <c r="J262" s="18" t="s">
        <v>108</v>
      </c>
      <c r="K262" s="22" t="s">
        <v>234</v>
      </c>
      <c r="L262" s="24" t="s">
        <v>18</v>
      </c>
    </row>
    <row r="263" ht="45.0" customHeight="1">
      <c r="A263" s="11">
        <v>261.0</v>
      </c>
      <c r="B263" s="10" t="s">
        <v>770</v>
      </c>
      <c r="C263" s="10" t="s">
        <v>771</v>
      </c>
      <c r="D263" s="11" t="s">
        <v>852</v>
      </c>
      <c r="E263" s="11">
        <v>4.0</v>
      </c>
      <c r="F263" s="10" t="s">
        <v>1080</v>
      </c>
      <c r="G263" s="10" t="s">
        <v>1081</v>
      </c>
      <c r="H263" s="10" t="s">
        <v>1082</v>
      </c>
      <c r="I263" s="10" t="s">
        <v>1083</v>
      </c>
      <c r="J263" s="10" t="s">
        <v>108</v>
      </c>
      <c r="K263" s="22" t="s">
        <v>234</v>
      </c>
      <c r="L263" s="24" t="s">
        <v>18</v>
      </c>
    </row>
    <row r="264" ht="45.0" customHeight="1">
      <c r="A264" s="19">
        <v>262.0</v>
      </c>
      <c r="B264" s="18" t="s">
        <v>770</v>
      </c>
      <c r="C264" s="18" t="s">
        <v>771</v>
      </c>
      <c r="D264" s="19" t="s">
        <v>852</v>
      </c>
      <c r="E264" s="19">
        <v>5.0</v>
      </c>
      <c r="F264" s="18" t="s">
        <v>1084</v>
      </c>
      <c r="G264" s="18" t="s">
        <v>1085</v>
      </c>
      <c r="H264" s="18" t="s">
        <v>1086</v>
      </c>
      <c r="I264" s="18" t="s">
        <v>1087</v>
      </c>
      <c r="J264" s="18" t="s">
        <v>108</v>
      </c>
      <c r="K264" s="22" t="s">
        <v>234</v>
      </c>
      <c r="L264" s="24" t="s">
        <v>18</v>
      </c>
    </row>
    <row r="265" ht="45.0" customHeight="1">
      <c r="A265" s="11">
        <v>263.0</v>
      </c>
      <c r="B265" s="10" t="s">
        <v>770</v>
      </c>
      <c r="C265" s="10" t="s">
        <v>771</v>
      </c>
      <c r="D265" s="11" t="s">
        <v>852</v>
      </c>
      <c r="E265" s="11">
        <v>6.0</v>
      </c>
      <c r="F265" s="10" t="s">
        <v>1088</v>
      </c>
      <c r="G265" s="10" t="s">
        <v>1089</v>
      </c>
      <c r="H265" s="10" t="s">
        <v>1090</v>
      </c>
      <c r="I265" s="10" t="s">
        <v>1091</v>
      </c>
      <c r="J265" s="10" t="s">
        <v>685</v>
      </c>
      <c r="K265" s="22" t="s">
        <v>234</v>
      </c>
      <c r="L265" s="24" t="s">
        <v>18</v>
      </c>
    </row>
    <row r="266" ht="45.0" customHeight="1">
      <c r="A266" s="19">
        <v>264.0</v>
      </c>
      <c r="B266" s="18" t="s">
        <v>787</v>
      </c>
      <c r="C266" s="18" t="s">
        <v>788</v>
      </c>
      <c r="D266" s="19" t="s">
        <v>852</v>
      </c>
      <c r="E266" s="19">
        <v>1.0</v>
      </c>
      <c r="F266" s="18" t="s">
        <v>1092</v>
      </c>
      <c r="G266" s="18" t="s">
        <v>1093</v>
      </c>
      <c r="H266" s="18" t="s">
        <v>1094</v>
      </c>
      <c r="I266" s="18" t="s">
        <v>1095</v>
      </c>
      <c r="J266" s="18" t="s">
        <v>266</v>
      </c>
      <c r="K266" s="22" t="s">
        <v>234</v>
      </c>
      <c r="L266" s="24" t="s">
        <v>18</v>
      </c>
    </row>
    <row r="267" ht="45.0" customHeight="1">
      <c r="A267" s="11">
        <v>265.0</v>
      </c>
      <c r="B267" s="10" t="s">
        <v>787</v>
      </c>
      <c r="C267" s="10" t="s">
        <v>788</v>
      </c>
      <c r="D267" s="11" t="s">
        <v>852</v>
      </c>
      <c r="E267" s="11">
        <v>2.0</v>
      </c>
      <c r="F267" s="10" t="s">
        <v>1096</v>
      </c>
      <c r="G267" s="10" t="s">
        <v>1097</v>
      </c>
      <c r="H267" s="10" t="s">
        <v>1098</v>
      </c>
      <c r="I267" s="10" t="s">
        <v>1099</v>
      </c>
      <c r="J267" s="10" t="s">
        <v>266</v>
      </c>
      <c r="K267" s="22" t="s">
        <v>234</v>
      </c>
      <c r="L267" s="24" t="s">
        <v>18</v>
      </c>
    </row>
    <row r="268" ht="45.0" customHeight="1">
      <c r="A268" s="19">
        <v>266.0</v>
      </c>
      <c r="B268" s="18" t="s">
        <v>787</v>
      </c>
      <c r="C268" s="18" t="s">
        <v>788</v>
      </c>
      <c r="D268" s="19" t="s">
        <v>852</v>
      </c>
      <c r="E268" s="19">
        <v>3.0</v>
      </c>
      <c r="F268" s="18" t="s">
        <v>1100</v>
      </c>
      <c r="G268" s="18" t="s">
        <v>1101</v>
      </c>
      <c r="H268" s="18" t="s">
        <v>1102</v>
      </c>
      <c r="I268" s="18" t="s">
        <v>1103</v>
      </c>
      <c r="J268" s="18" t="s">
        <v>266</v>
      </c>
      <c r="K268" s="22" t="s">
        <v>234</v>
      </c>
      <c r="L268" s="24" t="s">
        <v>18</v>
      </c>
    </row>
    <row r="269" ht="45.0" customHeight="1">
      <c r="A269" s="11">
        <v>267.0</v>
      </c>
      <c r="B269" s="10" t="s">
        <v>787</v>
      </c>
      <c r="C269" s="10" t="s">
        <v>788</v>
      </c>
      <c r="D269" s="11" t="s">
        <v>852</v>
      </c>
      <c r="E269" s="11">
        <v>4.0</v>
      </c>
      <c r="F269" s="10" t="s">
        <v>1104</v>
      </c>
      <c r="G269" s="10" t="s">
        <v>1105</v>
      </c>
      <c r="H269" s="10" t="s">
        <v>1106</v>
      </c>
      <c r="I269" s="10" t="s">
        <v>1107</v>
      </c>
      <c r="J269" s="10" t="s">
        <v>266</v>
      </c>
      <c r="K269" s="22" t="s">
        <v>234</v>
      </c>
      <c r="L269" s="24" t="s">
        <v>18</v>
      </c>
    </row>
    <row r="270" ht="45.0" customHeight="1">
      <c r="A270" s="19">
        <v>268.0</v>
      </c>
      <c r="B270" s="18" t="s">
        <v>787</v>
      </c>
      <c r="C270" s="18" t="s">
        <v>788</v>
      </c>
      <c r="D270" s="19" t="s">
        <v>852</v>
      </c>
      <c r="E270" s="19">
        <v>5.0</v>
      </c>
      <c r="F270" s="18" t="s">
        <v>1108</v>
      </c>
      <c r="G270" s="18" t="s">
        <v>1109</v>
      </c>
      <c r="H270" s="18" t="s">
        <v>1110</v>
      </c>
      <c r="I270" s="18" t="s">
        <v>1111</v>
      </c>
      <c r="J270" s="18" t="s">
        <v>266</v>
      </c>
      <c r="K270" s="22" t="s">
        <v>234</v>
      </c>
      <c r="L270" s="24" t="s">
        <v>18</v>
      </c>
    </row>
    <row r="271" ht="45.0" customHeight="1">
      <c r="A271" s="11">
        <v>269.0</v>
      </c>
      <c r="B271" s="10" t="s">
        <v>787</v>
      </c>
      <c r="C271" s="10" t="s">
        <v>788</v>
      </c>
      <c r="D271" s="11" t="s">
        <v>852</v>
      </c>
      <c r="E271" s="11">
        <v>6.0</v>
      </c>
      <c r="F271" s="10" t="s">
        <v>1112</v>
      </c>
      <c r="G271" s="10" t="s">
        <v>1113</v>
      </c>
      <c r="H271" s="10" t="s">
        <v>1114</v>
      </c>
      <c r="I271" s="10" t="s">
        <v>1115</v>
      </c>
      <c r="J271" s="10" t="s">
        <v>266</v>
      </c>
      <c r="K271" s="22" t="s">
        <v>234</v>
      </c>
      <c r="L271" s="24" t="s">
        <v>18</v>
      </c>
    </row>
    <row r="272" ht="45.0" customHeight="1">
      <c r="A272" s="19">
        <v>270.0</v>
      </c>
      <c r="B272" s="18" t="s">
        <v>801</v>
      </c>
      <c r="C272" s="18" t="s">
        <v>802</v>
      </c>
      <c r="D272" s="19" t="s">
        <v>852</v>
      </c>
      <c r="E272" s="19">
        <v>1.0</v>
      </c>
      <c r="F272" s="18" t="s">
        <v>1116</v>
      </c>
      <c r="G272" s="18" t="s">
        <v>1117</v>
      </c>
      <c r="H272" s="18" t="s">
        <v>1118</v>
      </c>
      <c r="I272" s="18" t="s">
        <v>1119</v>
      </c>
      <c r="J272" s="18" t="s">
        <v>266</v>
      </c>
      <c r="K272" s="22" t="s">
        <v>234</v>
      </c>
      <c r="L272" s="24" t="s">
        <v>18</v>
      </c>
    </row>
    <row r="273" ht="45.0" customHeight="1">
      <c r="A273" s="11">
        <v>271.0</v>
      </c>
      <c r="B273" s="10" t="s">
        <v>801</v>
      </c>
      <c r="C273" s="10" t="s">
        <v>802</v>
      </c>
      <c r="D273" s="11" t="s">
        <v>852</v>
      </c>
      <c r="E273" s="11">
        <v>2.0</v>
      </c>
      <c r="F273" s="10" t="s">
        <v>1120</v>
      </c>
      <c r="G273" s="10" t="s">
        <v>1121</v>
      </c>
      <c r="H273" s="10" t="s">
        <v>1122</v>
      </c>
      <c r="I273" s="10" t="s">
        <v>1008</v>
      </c>
      <c r="J273" s="10" t="s">
        <v>266</v>
      </c>
      <c r="K273" s="22" t="s">
        <v>234</v>
      </c>
      <c r="L273" s="24" t="s">
        <v>18</v>
      </c>
    </row>
    <row r="274" ht="45.0" customHeight="1">
      <c r="A274" s="19">
        <v>272.0</v>
      </c>
      <c r="B274" s="18" t="s">
        <v>801</v>
      </c>
      <c r="C274" s="18" t="s">
        <v>802</v>
      </c>
      <c r="D274" s="19" t="s">
        <v>852</v>
      </c>
      <c r="E274" s="19">
        <v>3.0</v>
      </c>
      <c r="F274" s="18" t="s">
        <v>1123</v>
      </c>
      <c r="G274" s="18" t="s">
        <v>1124</v>
      </c>
      <c r="H274" s="18" t="s">
        <v>1125</v>
      </c>
      <c r="I274" s="18" t="s">
        <v>1126</v>
      </c>
      <c r="J274" s="18" t="s">
        <v>266</v>
      </c>
      <c r="K274" s="22" t="s">
        <v>234</v>
      </c>
      <c r="L274" s="24" t="s">
        <v>18</v>
      </c>
    </row>
    <row r="275" ht="45.0" customHeight="1">
      <c r="A275" s="11">
        <v>273.0</v>
      </c>
      <c r="B275" s="10" t="s">
        <v>801</v>
      </c>
      <c r="C275" s="10" t="s">
        <v>802</v>
      </c>
      <c r="D275" s="11" t="s">
        <v>852</v>
      </c>
      <c r="E275" s="11">
        <v>4.0</v>
      </c>
      <c r="F275" s="10" t="s">
        <v>1127</v>
      </c>
      <c r="G275" s="10" t="s">
        <v>1128</v>
      </c>
      <c r="H275" s="10" t="s">
        <v>1125</v>
      </c>
      <c r="I275" s="10" t="s">
        <v>1129</v>
      </c>
      <c r="J275" s="10" t="s">
        <v>266</v>
      </c>
      <c r="K275" s="22" t="s">
        <v>234</v>
      </c>
      <c r="L275" s="24" t="s">
        <v>18</v>
      </c>
    </row>
    <row r="276" ht="45.0" customHeight="1">
      <c r="A276" s="19">
        <v>274.0</v>
      </c>
      <c r="B276" s="18" t="s">
        <v>801</v>
      </c>
      <c r="C276" s="18" t="s">
        <v>802</v>
      </c>
      <c r="D276" s="19" t="s">
        <v>852</v>
      </c>
      <c r="E276" s="19">
        <v>5.0</v>
      </c>
      <c r="F276" s="18" t="s">
        <v>1130</v>
      </c>
      <c r="G276" s="18" t="s">
        <v>1131</v>
      </c>
      <c r="H276" s="18" t="s">
        <v>1132</v>
      </c>
      <c r="I276" s="18" t="s">
        <v>1133</v>
      </c>
      <c r="J276" s="18" t="s">
        <v>266</v>
      </c>
      <c r="K276" s="22" t="s">
        <v>234</v>
      </c>
      <c r="L276" s="24" t="s">
        <v>18</v>
      </c>
    </row>
    <row r="277" ht="45.0" customHeight="1">
      <c r="A277" s="11">
        <v>275.0</v>
      </c>
      <c r="B277" s="10" t="s">
        <v>801</v>
      </c>
      <c r="C277" s="10" t="s">
        <v>802</v>
      </c>
      <c r="D277" s="11" t="s">
        <v>852</v>
      </c>
      <c r="E277" s="11">
        <v>6.0</v>
      </c>
      <c r="F277" s="10" t="s">
        <v>1134</v>
      </c>
      <c r="G277" s="10" t="s">
        <v>1135</v>
      </c>
      <c r="H277" s="10" t="s">
        <v>1136</v>
      </c>
      <c r="I277" s="10" t="s">
        <v>1137</v>
      </c>
      <c r="J277" s="10" t="s">
        <v>266</v>
      </c>
      <c r="K277" s="22" t="s">
        <v>234</v>
      </c>
      <c r="L277" s="24" t="s">
        <v>18</v>
      </c>
    </row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77"/>
  <mergeCells count="1">
    <mergeCell ref="A1:L1"/>
  </mergeCells>
  <dataValidations>
    <dataValidation type="list" allowBlank="1" sqref="L3:L277">
      <formula1>"OK,ERROR,PENDIENTE"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14.0"/>
    <col customWidth="1" min="4" max="5" width="8.0"/>
    <col customWidth="1" min="6" max="6" width="12.0"/>
    <col customWidth="1" min="7" max="7" width="18.0"/>
  </cols>
  <sheetData>
    <row r="1" ht="24.0" customHeight="1">
      <c r="A1" s="1" t="s">
        <v>0</v>
      </c>
      <c r="B1" s="3"/>
      <c r="C1" s="3"/>
      <c r="D1" s="3"/>
      <c r="E1" s="3"/>
      <c r="F1" s="5"/>
    </row>
    <row r="2" ht="24.0" customHeight="1">
      <c r="A2" s="7" t="s">
        <v>5</v>
      </c>
      <c r="B2" s="7" t="s">
        <v>8</v>
      </c>
      <c r="C2" s="7" t="s">
        <v>10</v>
      </c>
      <c r="D2" s="7" t="s">
        <v>12</v>
      </c>
      <c r="E2" s="7" t="s">
        <v>15</v>
      </c>
      <c r="F2" s="7" t="s">
        <v>18</v>
      </c>
      <c r="G2" s="7" t="s">
        <v>20</v>
      </c>
    </row>
    <row r="3" ht="27.0" customHeight="1">
      <c r="A3" s="11" t="s">
        <v>24</v>
      </c>
      <c r="B3" s="10" t="s">
        <v>30</v>
      </c>
      <c r="C3" s="11">
        <f>COUNTIF('Plan de Pruebas Funcionales'!$B$3:$B$277,A3)</f>
        <v>7</v>
      </c>
      <c r="D3" s="11">
        <f>COUNTIFS('Plan de Pruebas Funcionales'!$B$3:$B$277,A3,'Plan de Pruebas Funcionales'!$L$3:$L$277,"OK")</f>
        <v>4</v>
      </c>
      <c r="E3" s="11">
        <f>COUNTIFS('Plan de Pruebas Funcionales'!$B$3:$B$277,A3,'Plan de Pruebas Funcionales'!$L$3:$L$277,"ERROR")</f>
        <v>0</v>
      </c>
      <c r="F3" s="11">
        <f>COUNTIFS('Plan de Pruebas Funcionales'!$B$3:$B$277,A3,'Plan de Pruebas Funcionales'!$L$3:$L$277,"PENDIENTE")</f>
        <v>3</v>
      </c>
      <c r="G3" s="28">
        <f t="shared" ref="G3:G34" si="1">IFERROR(D3/C3,0)</f>
        <v>0.5714285714</v>
      </c>
    </row>
    <row r="4" ht="14.25" customHeight="1">
      <c r="A4" s="19" t="s">
        <v>102</v>
      </c>
      <c r="B4" s="18" t="s">
        <v>103</v>
      </c>
      <c r="C4" s="19">
        <f>COUNTIF('Plan de Pruebas Funcionales'!$B$3:$B$277,A4)</f>
        <v>7</v>
      </c>
      <c r="D4" s="19">
        <f>COUNTIFS('Plan de Pruebas Funcionales'!$B$3:$B$277,A4,'Plan de Pruebas Funcionales'!$L$3:$L$277,"OK")</f>
        <v>7</v>
      </c>
      <c r="E4" s="19">
        <f>COUNTIFS('Plan de Pruebas Funcionales'!$B$3:$B$277,A4,'Plan de Pruebas Funcionales'!$L$3:$L$277,"ERROR")</f>
        <v>0</v>
      </c>
      <c r="F4" s="19">
        <f>COUNTIFS('Plan de Pruebas Funcionales'!$B$3:$B$277,A4,'Plan de Pruebas Funcionales'!$L$3:$L$277,"PENDIENTE")</f>
        <v>0</v>
      </c>
      <c r="G4" s="30">
        <f t="shared" si="1"/>
        <v>1</v>
      </c>
    </row>
    <row r="5" ht="14.25" customHeight="1">
      <c r="A5" s="11" t="s">
        <v>152</v>
      </c>
      <c r="B5" s="10" t="s">
        <v>153</v>
      </c>
      <c r="C5" s="11">
        <f>COUNTIF('Plan de Pruebas Funcionales'!$B$3:$B$277,A5)</f>
        <v>12</v>
      </c>
      <c r="D5" s="11">
        <f>COUNTIFS('Plan de Pruebas Funcionales'!$B$3:$B$277,A5,'Plan de Pruebas Funcionales'!$L$3:$L$277,"OK")</f>
        <v>7</v>
      </c>
      <c r="E5" s="11">
        <f>COUNTIFS('Plan de Pruebas Funcionales'!$B$3:$B$277,A5,'Plan de Pruebas Funcionales'!$L$3:$L$277,"ERROR")</f>
        <v>0</v>
      </c>
      <c r="F5" s="11">
        <f>COUNTIFS('Plan de Pruebas Funcionales'!$B$3:$B$277,A5,'Plan de Pruebas Funcionales'!$L$3:$L$277,"PENDIENTE")</f>
        <v>5</v>
      </c>
      <c r="G5" s="28">
        <f t="shared" si="1"/>
        <v>0.5833333333</v>
      </c>
    </row>
    <row r="6" ht="14.25" customHeight="1">
      <c r="A6" s="19" t="s">
        <v>173</v>
      </c>
      <c r="B6" s="18" t="s">
        <v>174</v>
      </c>
      <c r="C6" s="19">
        <f>COUNTIF('Plan de Pruebas Funcionales'!$B$3:$B$277,A6)</f>
        <v>7</v>
      </c>
      <c r="D6" s="19">
        <f>COUNTIFS('Plan de Pruebas Funcionales'!$B$3:$B$277,A6,'Plan de Pruebas Funcionales'!$L$3:$L$277,"OK")</f>
        <v>5</v>
      </c>
      <c r="E6" s="19">
        <f>COUNTIFS('Plan de Pruebas Funcionales'!$B$3:$B$277,A6,'Plan de Pruebas Funcionales'!$L$3:$L$277,"ERROR")</f>
        <v>0</v>
      </c>
      <c r="F6" s="19">
        <f>COUNTIFS('Plan de Pruebas Funcionales'!$B$3:$B$277,A6,'Plan de Pruebas Funcionales'!$L$3:$L$277,"PENDIENTE")</f>
        <v>2</v>
      </c>
      <c r="G6" s="30">
        <f t="shared" si="1"/>
        <v>0.7142857143</v>
      </c>
    </row>
    <row r="7" ht="14.25" customHeight="1">
      <c r="A7" s="11" t="s">
        <v>198</v>
      </c>
      <c r="B7" s="10" t="s">
        <v>199</v>
      </c>
      <c r="C7" s="11">
        <f>COUNTIF('Plan de Pruebas Funcionales'!$B$3:$B$277,A7)</f>
        <v>11</v>
      </c>
      <c r="D7" s="11">
        <f>COUNTIFS('Plan de Pruebas Funcionales'!$B$3:$B$277,A7,'Plan de Pruebas Funcionales'!$L$3:$L$277,"OK")</f>
        <v>7</v>
      </c>
      <c r="E7" s="11">
        <f>COUNTIFS('Plan de Pruebas Funcionales'!$B$3:$B$277,A7,'Plan de Pruebas Funcionales'!$L$3:$L$277,"ERROR")</f>
        <v>0</v>
      </c>
      <c r="F7" s="11">
        <f>COUNTIFS('Plan de Pruebas Funcionales'!$B$3:$B$277,A7,'Plan de Pruebas Funcionales'!$L$3:$L$277,"PENDIENTE")</f>
        <v>4</v>
      </c>
      <c r="G7" s="28">
        <f t="shared" si="1"/>
        <v>0.6363636364</v>
      </c>
    </row>
    <row r="8" ht="14.25" customHeight="1">
      <c r="A8" s="19" t="s">
        <v>213</v>
      </c>
      <c r="B8" s="18" t="s">
        <v>214</v>
      </c>
      <c r="C8" s="19">
        <f>COUNTIF('Plan de Pruebas Funcionales'!$B$3:$B$277,A8)</f>
        <v>6</v>
      </c>
      <c r="D8" s="19">
        <f>COUNTIFS('Plan de Pruebas Funcionales'!$B$3:$B$277,A8,'Plan de Pruebas Funcionales'!$L$3:$L$277,"OK")</f>
        <v>4</v>
      </c>
      <c r="E8" s="19">
        <f>COUNTIFS('Plan de Pruebas Funcionales'!$B$3:$B$277,A8,'Plan de Pruebas Funcionales'!$L$3:$L$277,"ERROR")</f>
        <v>0</v>
      </c>
      <c r="F8" s="19">
        <f>COUNTIFS('Plan de Pruebas Funcionales'!$B$3:$B$277,A8,'Plan de Pruebas Funcionales'!$L$3:$L$277,"PENDIENTE")</f>
        <v>2</v>
      </c>
      <c r="G8" s="30">
        <f t="shared" si="1"/>
        <v>0.6666666667</v>
      </c>
    </row>
    <row r="9" ht="14.25" customHeight="1">
      <c r="A9" s="11" t="s">
        <v>219</v>
      </c>
      <c r="B9" s="10" t="s">
        <v>220</v>
      </c>
      <c r="C9" s="11">
        <f>COUNTIF('Plan de Pruebas Funcionales'!$B$3:$B$277,A9)</f>
        <v>5</v>
      </c>
      <c r="D9" s="11">
        <f>COUNTIFS('Plan de Pruebas Funcionales'!$B$3:$B$277,A9,'Plan de Pruebas Funcionales'!$L$3:$L$277,"OK")</f>
        <v>2</v>
      </c>
      <c r="E9" s="11">
        <f>COUNTIFS('Plan de Pruebas Funcionales'!$B$3:$B$277,A9,'Plan de Pruebas Funcionales'!$L$3:$L$277,"ERROR")</f>
        <v>0</v>
      </c>
      <c r="F9" s="11">
        <f>COUNTIFS('Plan de Pruebas Funcionales'!$B$3:$B$277,A9,'Plan de Pruebas Funcionales'!$L$3:$L$277,"PENDIENTE")</f>
        <v>3</v>
      </c>
      <c r="G9" s="28">
        <f t="shared" si="1"/>
        <v>0.4</v>
      </c>
    </row>
    <row r="10" ht="14.25" customHeight="1">
      <c r="A10" s="19" t="s">
        <v>239</v>
      </c>
      <c r="B10" s="18" t="s">
        <v>240</v>
      </c>
      <c r="C10" s="19">
        <f>COUNTIF('Plan de Pruebas Funcionales'!$B$3:$B$277,A10)</f>
        <v>11</v>
      </c>
      <c r="D10" s="19">
        <f>COUNTIFS('Plan de Pruebas Funcionales'!$B$3:$B$277,A10,'Plan de Pruebas Funcionales'!$L$3:$L$277,"OK")</f>
        <v>8</v>
      </c>
      <c r="E10" s="19">
        <f>COUNTIFS('Plan de Pruebas Funcionales'!$B$3:$B$277,A10,'Plan de Pruebas Funcionales'!$L$3:$L$277,"ERROR")</f>
        <v>0</v>
      </c>
      <c r="F10" s="19">
        <f>COUNTIFS('Plan de Pruebas Funcionales'!$B$3:$B$277,A10,'Plan de Pruebas Funcionales'!$L$3:$L$277,"PENDIENTE")</f>
        <v>3</v>
      </c>
      <c r="G10" s="30">
        <f t="shared" si="1"/>
        <v>0.7272727273</v>
      </c>
    </row>
    <row r="11" ht="14.25" customHeight="1">
      <c r="A11" s="11" t="s">
        <v>256</v>
      </c>
      <c r="B11" s="10" t="s">
        <v>257</v>
      </c>
      <c r="C11" s="11">
        <f>COUNTIF('Plan de Pruebas Funcionales'!$B$3:$B$277,A11)</f>
        <v>8</v>
      </c>
      <c r="D11" s="11">
        <f>COUNTIFS('Plan de Pruebas Funcionales'!$B$3:$B$277,A11,'Plan de Pruebas Funcionales'!$L$3:$L$277,"OK")</f>
        <v>5</v>
      </c>
      <c r="E11" s="11">
        <f>COUNTIFS('Plan de Pruebas Funcionales'!$B$3:$B$277,A11,'Plan de Pruebas Funcionales'!$L$3:$L$277,"ERROR")</f>
        <v>0</v>
      </c>
      <c r="F11" s="11">
        <f>COUNTIFS('Plan de Pruebas Funcionales'!$B$3:$B$277,A11,'Plan de Pruebas Funcionales'!$L$3:$L$277,"PENDIENTE")</f>
        <v>3</v>
      </c>
      <c r="G11" s="28">
        <f t="shared" si="1"/>
        <v>0.625</v>
      </c>
    </row>
    <row r="12" ht="14.25" customHeight="1">
      <c r="A12" s="19" t="s">
        <v>280</v>
      </c>
      <c r="B12" s="18" t="s">
        <v>282</v>
      </c>
      <c r="C12" s="19">
        <f>COUNTIF('Plan de Pruebas Funcionales'!$B$3:$B$277,A12)</f>
        <v>11</v>
      </c>
      <c r="D12" s="19">
        <f>COUNTIFS('Plan de Pruebas Funcionales'!$B$3:$B$277,A12,'Plan de Pruebas Funcionales'!$L$3:$L$277,"OK")</f>
        <v>6</v>
      </c>
      <c r="E12" s="19">
        <f>COUNTIFS('Plan de Pruebas Funcionales'!$B$3:$B$277,A12,'Plan de Pruebas Funcionales'!$L$3:$L$277,"ERROR")</f>
        <v>0</v>
      </c>
      <c r="F12" s="19">
        <f>COUNTIFS('Plan de Pruebas Funcionales'!$B$3:$B$277,A12,'Plan de Pruebas Funcionales'!$L$3:$L$277,"PENDIENTE")</f>
        <v>5</v>
      </c>
      <c r="G12" s="30">
        <f t="shared" si="1"/>
        <v>0.5454545455</v>
      </c>
    </row>
    <row r="13" ht="14.25" customHeight="1">
      <c r="A13" s="11" t="s">
        <v>314</v>
      </c>
      <c r="B13" s="10" t="s">
        <v>316</v>
      </c>
      <c r="C13" s="11">
        <f>COUNTIF('Plan de Pruebas Funcionales'!$B$3:$B$277,A13)</f>
        <v>7</v>
      </c>
      <c r="D13" s="11">
        <f>COUNTIFS('Plan de Pruebas Funcionales'!$B$3:$B$277,A13,'Plan de Pruebas Funcionales'!$L$3:$L$277,"OK")</f>
        <v>1</v>
      </c>
      <c r="E13" s="11">
        <f>COUNTIFS('Plan de Pruebas Funcionales'!$B$3:$B$277,A13,'Plan de Pruebas Funcionales'!$L$3:$L$277,"ERROR")</f>
        <v>0</v>
      </c>
      <c r="F13" s="11">
        <f>COUNTIFS('Plan de Pruebas Funcionales'!$B$3:$B$277,A13,'Plan de Pruebas Funcionales'!$L$3:$L$277,"PENDIENTE")</f>
        <v>6</v>
      </c>
      <c r="G13" s="28">
        <f t="shared" si="1"/>
        <v>0.1428571429</v>
      </c>
    </row>
    <row r="14" ht="14.25" customHeight="1">
      <c r="A14" s="19" t="s">
        <v>370</v>
      </c>
      <c r="B14" s="18" t="s">
        <v>372</v>
      </c>
      <c r="C14" s="19">
        <f>COUNTIF('Plan de Pruebas Funcionales'!$B$3:$B$277,A14)</f>
        <v>10</v>
      </c>
      <c r="D14" s="19">
        <f>COUNTIFS('Plan de Pruebas Funcionales'!$B$3:$B$277,A14,'Plan de Pruebas Funcionales'!$L$3:$L$277,"OK")</f>
        <v>10</v>
      </c>
      <c r="E14" s="19">
        <f>COUNTIFS('Plan de Pruebas Funcionales'!$B$3:$B$277,A14,'Plan de Pruebas Funcionales'!$L$3:$L$277,"ERROR")</f>
        <v>0</v>
      </c>
      <c r="F14" s="19">
        <f>COUNTIFS('Plan de Pruebas Funcionales'!$B$3:$B$277,A14,'Plan de Pruebas Funcionales'!$L$3:$L$277,"PENDIENTE")</f>
        <v>0</v>
      </c>
      <c r="G14" s="30">
        <f t="shared" si="1"/>
        <v>1</v>
      </c>
    </row>
    <row r="15" ht="14.25" customHeight="1">
      <c r="A15" s="11" t="s">
        <v>389</v>
      </c>
      <c r="B15" s="10" t="s">
        <v>390</v>
      </c>
      <c r="C15" s="11">
        <f>COUNTIF('Plan de Pruebas Funcionales'!$B$3:$B$277,A15)</f>
        <v>6</v>
      </c>
      <c r="D15" s="11">
        <f>COUNTIFS('Plan de Pruebas Funcionales'!$B$3:$B$277,A15,'Plan de Pruebas Funcionales'!$L$3:$L$277,"OK")</f>
        <v>6</v>
      </c>
      <c r="E15" s="11">
        <f>COUNTIFS('Plan de Pruebas Funcionales'!$B$3:$B$277,A15,'Plan de Pruebas Funcionales'!$L$3:$L$277,"ERROR")</f>
        <v>0</v>
      </c>
      <c r="F15" s="11">
        <f>COUNTIFS('Plan de Pruebas Funcionales'!$B$3:$B$277,A15,'Plan de Pruebas Funcionales'!$L$3:$L$277,"PENDIENTE")</f>
        <v>0</v>
      </c>
      <c r="G15" s="28">
        <f t="shared" si="1"/>
        <v>1</v>
      </c>
    </row>
    <row r="16" ht="14.25" customHeight="1">
      <c r="A16" s="19" t="s">
        <v>410</v>
      </c>
      <c r="B16" s="18" t="s">
        <v>411</v>
      </c>
      <c r="C16" s="19">
        <f>COUNTIF('Plan de Pruebas Funcionales'!$B$3:$B$277,A16)</f>
        <v>16</v>
      </c>
      <c r="D16" s="19">
        <f>COUNTIFS('Plan de Pruebas Funcionales'!$B$3:$B$277,A16,'Plan de Pruebas Funcionales'!$L$3:$L$277,"OK")</f>
        <v>5</v>
      </c>
      <c r="E16" s="19">
        <f>COUNTIFS('Plan de Pruebas Funcionales'!$B$3:$B$277,A16,'Plan de Pruebas Funcionales'!$L$3:$L$277,"ERROR")</f>
        <v>0</v>
      </c>
      <c r="F16" s="19">
        <f>COUNTIFS('Plan de Pruebas Funcionales'!$B$3:$B$277,A16,'Plan de Pruebas Funcionales'!$L$3:$L$277,"PENDIENTE")</f>
        <v>11</v>
      </c>
      <c r="G16" s="30">
        <f t="shared" si="1"/>
        <v>0.3125</v>
      </c>
    </row>
    <row r="17" ht="14.25" customHeight="1">
      <c r="A17" s="11" t="s">
        <v>439</v>
      </c>
      <c r="B17" s="10" t="s">
        <v>440</v>
      </c>
      <c r="C17" s="11">
        <f>COUNTIF('Plan de Pruebas Funcionales'!$B$3:$B$277,A17)</f>
        <v>18</v>
      </c>
      <c r="D17" s="11">
        <f>COUNTIFS('Plan de Pruebas Funcionales'!$B$3:$B$277,A17,'Plan de Pruebas Funcionales'!$L$3:$L$277,"OK")</f>
        <v>0</v>
      </c>
      <c r="E17" s="11">
        <f>COUNTIFS('Plan de Pruebas Funcionales'!$B$3:$B$277,A17,'Plan de Pruebas Funcionales'!$L$3:$L$277,"ERROR")</f>
        <v>0</v>
      </c>
      <c r="F17" s="11">
        <f>COUNTIFS('Plan de Pruebas Funcionales'!$B$3:$B$277,A17,'Plan de Pruebas Funcionales'!$L$3:$L$277,"PENDIENTE")</f>
        <v>18</v>
      </c>
      <c r="G17" s="28">
        <f t="shared" si="1"/>
        <v>0</v>
      </c>
    </row>
    <row r="18" ht="14.25" customHeight="1">
      <c r="A18" s="19" t="s">
        <v>461</v>
      </c>
      <c r="B18" s="18" t="s">
        <v>463</v>
      </c>
      <c r="C18" s="19">
        <f>COUNTIF('Plan de Pruebas Funcionales'!$B$3:$B$277,A18)</f>
        <v>16</v>
      </c>
      <c r="D18" s="19">
        <f>COUNTIFS('Plan de Pruebas Funcionales'!$B$3:$B$277,A18,'Plan de Pruebas Funcionales'!$L$3:$L$277,"OK")</f>
        <v>0</v>
      </c>
      <c r="E18" s="19">
        <f>COUNTIFS('Plan de Pruebas Funcionales'!$B$3:$B$277,A18,'Plan de Pruebas Funcionales'!$L$3:$L$277,"ERROR")</f>
        <v>0</v>
      </c>
      <c r="F18" s="19">
        <f>COUNTIFS('Plan de Pruebas Funcionales'!$B$3:$B$277,A18,'Plan de Pruebas Funcionales'!$L$3:$L$277,"PENDIENTE")</f>
        <v>16</v>
      </c>
      <c r="G18" s="30">
        <f t="shared" si="1"/>
        <v>0</v>
      </c>
    </row>
    <row r="19" ht="14.25" customHeight="1">
      <c r="A19" s="11" t="s">
        <v>504</v>
      </c>
      <c r="B19" s="10" t="s">
        <v>506</v>
      </c>
      <c r="C19" s="11">
        <f>COUNTIF('Plan de Pruebas Funcionales'!$B$3:$B$277,A19)</f>
        <v>13</v>
      </c>
      <c r="D19" s="11">
        <f>COUNTIFS('Plan de Pruebas Funcionales'!$B$3:$B$277,A19,'Plan de Pruebas Funcionales'!$L$3:$L$277,"OK")</f>
        <v>0</v>
      </c>
      <c r="E19" s="11">
        <f>COUNTIFS('Plan de Pruebas Funcionales'!$B$3:$B$277,A19,'Plan de Pruebas Funcionales'!$L$3:$L$277,"ERROR")</f>
        <v>0</v>
      </c>
      <c r="F19" s="11">
        <f>COUNTIFS('Plan de Pruebas Funcionales'!$B$3:$B$277,A19,'Plan de Pruebas Funcionales'!$L$3:$L$277,"PENDIENTE")</f>
        <v>13</v>
      </c>
      <c r="G19" s="28">
        <f t="shared" si="1"/>
        <v>0</v>
      </c>
    </row>
    <row r="20" ht="14.25" customHeight="1">
      <c r="A20" s="19" t="s">
        <v>545</v>
      </c>
      <c r="B20" s="18" t="s">
        <v>547</v>
      </c>
      <c r="C20" s="19">
        <f>COUNTIF('Plan de Pruebas Funcionales'!$B$3:$B$277,A20)</f>
        <v>20</v>
      </c>
      <c r="D20" s="19">
        <f>COUNTIFS('Plan de Pruebas Funcionales'!$B$3:$B$277,A20,'Plan de Pruebas Funcionales'!$L$3:$L$277,"OK")</f>
        <v>0</v>
      </c>
      <c r="E20" s="19">
        <f>COUNTIFS('Plan de Pruebas Funcionales'!$B$3:$B$277,A20,'Plan de Pruebas Funcionales'!$L$3:$L$277,"ERROR")</f>
        <v>0</v>
      </c>
      <c r="F20" s="19">
        <f>COUNTIFS('Plan de Pruebas Funcionales'!$B$3:$B$277,A20,'Plan de Pruebas Funcionales'!$L$3:$L$277,"PENDIENTE")</f>
        <v>20</v>
      </c>
      <c r="G20" s="30">
        <f t="shared" si="1"/>
        <v>0</v>
      </c>
    </row>
    <row r="21" ht="14.25" customHeight="1">
      <c r="A21" s="11" t="s">
        <v>583</v>
      </c>
      <c r="B21" s="10" t="s">
        <v>584</v>
      </c>
      <c r="C21" s="11">
        <f>COUNTIF('Plan de Pruebas Funcionales'!$B$3:$B$277,A21)</f>
        <v>11</v>
      </c>
      <c r="D21" s="11">
        <f>COUNTIFS('Plan de Pruebas Funcionales'!$B$3:$B$277,A21,'Plan de Pruebas Funcionales'!$L$3:$L$277,"OK")</f>
        <v>0</v>
      </c>
      <c r="E21" s="11">
        <f>COUNTIFS('Plan de Pruebas Funcionales'!$B$3:$B$277,A21,'Plan de Pruebas Funcionales'!$L$3:$L$277,"ERROR")</f>
        <v>0</v>
      </c>
      <c r="F21" s="11">
        <f>COUNTIFS('Plan de Pruebas Funcionales'!$B$3:$B$277,A21,'Plan de Pruebas Funcionales'!$L$3:$L$277,"PENDIENTE")</f>
        <v>11</v>
      </c>
      <c r="G21" s="28">
        <f t="shared" si="1"/>
        <v>0</v>
      </c>
    </row>
    <row r="22" ht="27.0" customHeight="1">
      <c r="A22" s="19" t="s">
        <v>618</v>
      </c>
      <c r="B22" s="18" t="s">
        <v>620</v>
      </c>
      <c r="C22" s="19">
        <f>COUNTIF('Plan de Pruebas Funcionales'!$B$3:$B$277,A22)</f>
        <v>6</v>
      </c>
      <c r="D22" s="19">
        <f>COUNTIFS('Plan de Pruebas Funcionales'!$B$3:$B$277,A22,'Plan de Pruebas Funcionales'!$L$3:$L$277,"OK")</f>
        <v>0</v>
      </c>
      <c r="E22" s="19">
        <f>COUNTIFS('Plan de Pruebas Funcionales'!$B$3:$B$277,A22,'Plan de Pruebas Funcionales'!$L$3:$L$277,"ERROR")</f>
        <v>0</v>
      </c>
      <c r="F22" s="19">
        <f>COUNTIFS('Plan de Pruebas Funcionales'!$B$3:$B$277,A22,'Plan de Pruebas Funcionales'!$L$3:$L$277,"PENDIENTE")</f>
        <v>6</v>
      </c>
      <c r="G22" s="30">
        <f t="shared" si="1"/>
        <v>0</v>
      </c>
    </row>
    <row r="23" ht="27.0" customHeight="1">
      <c r="A23" s="11" t="s">
        <v>647</v>
      </c>
      <c r="B23" s="10" t="s">
        <v>648</v>
      </c>
      <c r="C23" s="11">
        <f>COUNTIF('Plan de Pruebas Funcionales'!$B$3:$B$277,A23)</f>
        <v>7</v>
      </c>
      <c r="D23" s="11">
        <f>COUNTIFS('Plan de Pruebas Funcionales'!$B$3:$B$277,A23,'Plan de Pruebas Funcionales'!$L$3:$L$277,"OK")</f>
        <v>0</v>
      </c>
      <c r="E23" s="11">
        <f>COUNTIFS('Plan de Pruebas Funcionales'!$B$3:$B$277,A23,'Plan de Pruebas Funcionales'!$L$3:$L$277,"ERROR")</f>
        <v>0</v>
      </c>
      <c r="F23" s="11">
        <f>COUNTIFS('Plan de Pruebas Funcionales'!$B$3:$B$277,A23,'Plan de Pruebas Funcionales'!$L$3:$L$277,"PENDIENTE")</f>
        <v>7</v>
      </c>
      <c r="G23" s="28">
        <f t="shared" si="1"/>
        <v>0</v>
      </c>
    </row>
    <row r="24" ht="14.25" customHeight="1">
      <c r="A24" s="19" t="s">
        <v>659</v>
      </c>
      <c r="B24" s="18" t="s">
        <v>660</v>
      </c>
      <c r="C24" s="19">
        <f>COUNTIF('Plan de Pruebas Funcionales'!$B$3:$B$277,A24)</f>
        <v>7</v>
      </c>
      <c r="D24" s="19">
        <f>COUNTIFS('Plan de Pruebas Funcionales'!$B$3:$B$277,A24,'Plan de Pruebas Funcionales'!$L$3:$L$277,"OK")</f>
        <v>0</v>
      </c>
      <c r="E24" s="19">
        <f>COUNTIFS('Plan de Pruebas Funcionales'!$B$3:$B$277,A24,'Plan de Pruebas Funcionales'!$L$3:$L$277,"ERROR")</f>
        <v>0</v>
      </c>
      <c r="F24" s="19">
        <f>COUNTIFS('Plan de Pruebas Funcionales'!$B$3:$B$277,A24,'Plan de Pruebas Funcionales'!$L$3:$L$277,"PENDIENTE")</f>
        <v>7</v>
      </c>
      <c r="G24" s="30">
        <f t="shared" si="1"/>
        <v>0</v>
      </c>
    </row>
    <row r="25" ht="27.0" customHeight="1">
      <c r="A25" s="11" t="s">
        <v>671</v>
      </c>
      <c r="B25" s="10" t="s">
        <v>672</v>
      </c>
      <c r="C25" s="11">
        <f>COUNTIF('Plan de Pruebas Funcionales'!$B$3:$B$277,A25)</f>
        <v>5</v>
      </c>
      <c r="D25" s="11">
        <f>COUNTIFS('Plan de Pruebas Funcionales'!$B$3:$B$277,A25,'Plan de Pruebas Funcionales'!$L$3:$L$277,"OK")</f>
        <v>0</v>
      </c>
      <c r="E25" s="11">
        <f>COUNTIFS('Plan de Pruebas Funcionales'!$B$3:$B$277,A25,'Plan de Pruebas Funcionales'!$L$3:$L$277,"ERROR")</f>
        <v>0</v>
      </c>
      <c r="F25" s="11">
        <f>COUNTIFS('Plan de Pruebas Funcionales'!$B$3:$B$277,A25,'Plan de Pruebas Funcionales'!$L$3:$L$277,"PENDIENTE")</f>
        <v>5</v>
      </c>
      <c r="G25" s="28">
        <f t="shared" si="1"/>
        <v>0</v>
      </c>
    </row>
    <row r="26" ht="27.0" customHeight="1">
      <c r="A26" s="19" t="s">
        <v>695</v>
      </c>
      <c r="B26" s="18" t="s">
        <v>697</v>
      </c>
      <c r="C26" s="19">
        <f>COUNTIF('Plan de Pruebas Funcionales'!$B$3:$B$277,A26)</f>
        <v>7</v>
      </c>
      <c r="D26" s="19">
        <f>COUNTIFS('Plan de Pruebas Funcionales'!$B$3:$B$277,A26,'Plan de Pruebas Funcionales'!$L$3:$L$277,"OK")</f>
        <v>0</v>
      </c>
      <c r="E26" s="19">
        <f>COUNTIFS('Plan de Pruebas Funcionales'!$B$3:$B$277,A26,'Plan de Pruebas Funcionales'!$L$3:$L$277,"ERROR")</f>
        <v>0</v>
      </c>
      <c r="F26" s="19">
        <f>COUNTIFS('Plan de Pruebas Funcionales'!$B$3:$B$277,A26,'Plan de Pruebas Funcionales'!$L$3:$L$277,"PENDIENTE")</f>
        <v>7</v>
      </c>
      <c r="G26" s="30">
        <f t="shared" si="1"/>
        <v>0</v>
      </c>
    </row>
    <row r="27" ht="27.0" customHeight="1">
      <c r="A27" s="11" t="s">
        <v>711</v>
      </c>
      <c r="B27" s="10" t="s">
        <v>712</v>
      </c>
      <c r="C27" s="11">
        <f>COUNTIF('Plan de Pruebas Funcionales'!$B$3:$B$277,A27)</f>
        <v>7</v>
      </c>
      <c r="D27" s="11">
        <f>COUNTIFS('Plan de Pruebas Funcionales'!$B$3:$B$277,A27,'Plan de Pruebas Funcionales'!$L$3:$L$277,"OK")</f>
        <v>0</v>
      </c>
      <c r="E27" s="11">
        <f>COUNTIFS('Plan de Pruebas Funcionales'!$B$3:$B$277,A27,'Plan de Pruebas Funcionales'!$L$3:$L$277,"ERROR")</f>
        <v>0</v>
      </c>
      <c r="F27" s="11">
        <f>COUNTIFS('Plan de Pruebas Funcionales'!$B$3:$B$277,A27,'Plan de Pruebas Funcionales'!$L$3:$L$277,"PENDIENTE")</f>
        <v>7</v>
      </c>
      <c r="G27" s="28">
        <f t="shared" si="1"/>
        <v>0</v>
      </c>
    </row>
    <row r="28" ht="27.0" customHeight="1">
      <c r="A28" s="19" t="s">
        <v>726</v>
      </c>
      <c r="B28" s="18" t="s">
        <v>727</v>
      </c>
      <c r="C28" s="19">
        <f>COUNTIF('Plan de Pruebas Funcionales'!$B$3:$B$277,A28)</f>
        <v>6</v>
      </c>
      <c r="D28" s="19">
        <f>COUNTIFS('Plan de Pruebas Funcionales'!$B$3:$B$277,A28,'Plan de Pruebas Funcionales'!$L$3:$L$277,"OK")</f>
        <v>0</v>
      </c>
      <c r="E28" s="19">
        <f>COUNTIFS('Plan de Pruebas Funcionales'!$B$3:$B$277,A28,'Plan de Pruebas Funcionales'!$L$3:$L$277,"ERROR")</f>
        <v>0</v>
      </c>
      <c r="F28" s="19">
        <f>COUNTIFS('Plan de Pruebas Funcionales'!$B$3:$B$277,A28,'Plan de Pruebas Funcionales'!$L$3:$L$277,"PENDIENTE")</f>
        <v>6</v>
      </c>
      <c r="G28" s="30">
        <f t="shared" si="1"/>
        <v>0</v>
      </c>
    </row>
    <row r="29" ht="27.0" customHeight="1">
      <c r="A29" s="11" t="s">
        <v>746</v>
      </c>
      <c r="B29" s="10" t="s">
        <v>747</v>
      </c>
      <c r="C29" s="11">
        <f>COUNTIF('Plan de Pruebas Funcionales'!$B$3:$B$277,A29)</f>
        <v>4</v>
      </c>
      <c r="D29" s="11">
        <f>COUNTIFS('Plan de Pruebas Funcionales'!$B$3:$B$277,A29,'Plan de Pruebas Funcionales'!$L$3:$L$277,"OK")</f>
        <v>0</v>
      </c>
      <c r="E29" s="11">
        <f>COUNTIFS('Plan de Pruebas Funcionales'!$B$3:$B$277,A29,'Plan de Pruebas Funcionales'!$L$3:$L$277,"ERROR")</f>
        <v>0</v>
      </c>
      <c r="F29" s="11">
        <f>COUNTIFS('Plan de Pruebas Funcionales'!$B$3:$B$277,A29,'Plan de Pruebas Funcionales'!$L$3:$L$277,"PENDIENTE")</f>
        <v>4</v>
      </c>
      <c r="G29" s="28">
        <f t="shared" si="1"/>
        <v>0</v>
      </c>
    </row>
    <row r="30" ht="27.0" customHeight="1">
      <c r="A30" s="19" t="s">
        <v>756</v>
      </c>
      <c r="B30" s="18" t="s">
        <v>757</v>
      </c>
      <c r="C30" s="19">
        <f>COUNTIF('Plan de Pruebas Funcionales'!$B$3:$B$277,A30)</f>
        <v>6</v>
      </c>
      <c r="D30" s="19">
        <f>COUNTIFS('Plan de Pruebas Funcionales'!$B$3:$B$277,A30,'Plan de Pruebas Funcionales'!$L$3:$L$277,"OK")</f>
        <v>0</v>
      </c>
      <c r="E30" s="19">
        <f>COUNTIFS('Plan de Pruebas Funcionales'!$B$3:$B$277,A30,'Plan de Pruebas Funcionales'!$L$3:$L$277,"ERROR")</f>
        <v>0</v>
      </c>
      <c r="F30" s="19">
        <f>COUNTIFS('Plan de Pruebas Funcionales'!$B$3:$B$277,A30,'Plan de Pruebas Funcionales'!$L$3:$L$277,"PENDIENTE")</f>
        <v>6</v>
      </c>
      <c r="G30" s="30">
        <f t="shared" si="1"/>
        <v>0</v>
      </c>
    </row>
    <row r="31" ht="27.0" customHeight="1">
      <c r="A31" s="11" t="s">
        <v>770</v>
      </c>
      <c r="B31" s="10" t="s">
        <v>771</v>
      </c>
      <c r="C31" s="11">
        <f>COUNTIF('Plan de Pruebas Funcionales'!$B$3:$B$277,A31)</f>
        <v>6</v>
      </c>
      <c r="D31" s="11">
        <f>COUNTIFS('Plan de Pruebas Funcionales'!$B$3:$B$277,A31,'Plan de Pruebas Funcionales'!$L$3:$L$277,"OK")</f>
        <v>0</v>
      </c>
      <c r="E31" s="11">
        <f>COUNTIFS('Plan de Pruebas Funcionales'!$B$3:$B$277,A31,'Plan de Pruebas Funcionales'!$L$3:$L$277,"ERROR")</f>
        <v>0</v>
      </c>
      <c r="F31" s="11">
        <f>COUNTIFS('Plan de Pruebas Funcionales'!$B$3:$B$277,A31,'Plan de Pruebas Funcionales'!$L$3:$L$277,"PENDIENTE")</f>
        <v>6</v>
      </c>
      <c r="G31" s="28">
        <f t="shared" si="1"/>
        <v>0</v>
      </c>
    </row>
    <row r="32" ht="27.0" customHeight="1">
      <c r="A32" s="19" t="s">
        <v>787</v>
      </c>
      <c r="B32" s="18" t="s">
        <v>788</v>
      </c>
      <c r="C32" s="19">
        <f>COUNTIF('Plan de Pruebas Funcionales'!$B$3:$B$277,A32)</f>
        <v>6</v>
      </c>
      <c r="D32" s="19">
        <f>COUNTIFS('Plan de Pruebas Funcionales'!$B$3:$B$277,A32,'Plan de Pruebas Funcionales'!$L$3:$L$277,"OK")</f>
        <v>0</v>
      </c>
      <c r="E32" s="19">
        <f>COUNTIFS('Plan de Pruebas Funcionales'!$B$3:$B$277,A32,'Plan de Pruebas Funcionales'!$L$3:$L$277,"ERROR")</f>
        <v>0</v>
      </c>
      <c r="F32" s="19">
        <f>COUNTIFS('Plan de Pruebas Funcionales'!$B$3:$B$277,A32,'Plan de Pruebas Funcionales'!$L$3:$L$277,"PENDIENTE")</f>
        <v>6</v>
      </c>
      <c r="G32" s="30">
        <f t="shared" si="1"/>
        <v>0</v>
      </c>
    </row>
    <row r="33" ht="27.0" customHeight="1">
      <c r="A33" s="11" t="s">
        <v>801</v>
      </c>
      <c r="B33" s="10" t="s">
        <v>802</v>
      </c>
      <c r="C33" s="11">
        <f>COUNTIF('Plan de Pruebas Funcionales'!$B$3:$B$277,A33)</f>
        <v>6</v>
      </c>
      <c r="D33" s="11">
        <f>COUNTIFS('Plan de Pruebas Funcionales'!$B$3:$B$277,A33,'Plan de Pruebas Funcionales'!$L$3:$L$277,"OK")</f>
        <v>0</v>
      </c>
      <c r="E33" s="11">
        <f>COUNTIFS('Plan de Pruebas Funcionales'!$B$3:$B$277,A33,'Plan de Pruebas Funcionales'!$L$3:$L$277,"ERROR")</f>
        <v>0</v>
      </c>
      <c r="F33" s="11">
        <f>COUNTIFS('Plan de Pruebas Funcionales'!$B$3:$B$277,A33,'Plan de Pruebas Funcionales'!$L$3:$L$277,"PENDIENTE")</f>
        <v>6</v>
      </c>
      <c r="G33" s="28">
        <f t="shared" si="1"/>
        <v>0</v>
      </c>
    </row>
    <row r="34" ht="14.25" customHeight="1">
      <c r="A34" s="48" t="s">
        <v>821</v>
      </c>
      <c r="B34" s="49"/>
      <c r="C34" s="48">
        <f t="shared" ref="C34:F34" si="2">SUM(C3:C33)</f>
        <v>275</v>
      </c>
      <c r="D34" s="48">
        <f t="shared" si="2"/>
        <v>77</v>
      </c>
      <c r="E34" s="48">
        <f t="shared" si="2"/>
        <v>0</v>
      </c>
      <c r="F34" s="48">
        <f t="shared" si="2"/>
        <v>198</v>
      </c>
      <c r="G34" s="50">
        <f t="shared" si="1"/>
        <v>0.28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55.0"/>
    <col customWidth="1" min="3" max="3" width="10.0"/>
    <col customWidth="1" min="4" max="4" width="129.71"/>
    <col customWidth="1" min="5" max="6" width="8.71"/>
  </cols>
  <sheetData>
    <row r="1" ht="25.5" customHeight="1">
      <c r="A1" s="1" t="s">
        <v>3</v>
      </c>
      <c r="B1" s="3"/>
      <c r="C1" s="3"/>
      <c r="D1" s="5"/>
    </row>
    <row r="2" ht="21.75" customHeight="1">
      <c r="A2" s="8" t="s">
        <v>4</v>
      </c>
      <c r="B2" s="8" t="s">
        <v>9</v>
      </c>
      <c r="C2" s="8" t="s">
        <v>13</v>
      </c>
      <c r="D2" s="8" t="s">
        <v>16</v>
      </c>
    </row>
    <row r="3" ht="30.0" customHeight="1">
      <c r="A3" s="10" t="s">
        <v>22</v>
      </c>
      <c r="B3" s="10" t="s">
        <v>29</v>
      </c>
      <c r="C3" s="14" t="s">
        <v>33</v>
      </c>
      <c r="D3" s="16" t="s">
        <v>41</v>
      </c>
    </row>
    <row r="4" ht="30.0" customHeight="1">
      <c r="A4" s="18" t="s">
        <v>22</v>
      </c>
      <c r="B4" s="18" t="s">
        <v>44</v>
      </c>
      <c r="C4" s="14" t="s">
        <v>33</v>
      </c>
      <c r="D4" s="16" t="s">
        <v>45</v>
      </c>
    </row>
    <row r="5" ht="30.0" customHeight="1">
      <c r="A5" s="10" t="s">
        <v>22</v>
      </c>
      <c r="B5" s="10" t="s">
        <v>48</v>
      </c>
      <c r="C5" s="14" t="s">
        <v>33</v>
      </c>
      <c r="D5" s="20" t="s">
        <v>52</v>
      </c>
    </row>
    <row r="6" ht="30.0" customHeight="1">
      <c r="A6" s="18" t="s">
        <v>55</v>
      </c>
      <c r="B6" s="18" t="s">
        <v>57</v>
      </c>
      <c r="C6" s="14" t="s">
        <v>33</v>
      </c>
      <c r="D6" s="16" t="s">
        <v>60</v>
      </c>
    </row>
    <row r="7" ht="30.0" customHeight="1">
      <c r="A7" s="10" t="s">
        <v>55</v>
      </c>
      <c r="B7" s="10" t="s">
        <v>61</v>
      </c>
      <c r="C7" s="14" t="s">
        <v>33</v>
      </c>
      <c r="D7" s="16" t="s">
        <v>63</v>
      </c>
    </row>
    <row r="8" ht="30.0" customHeight="1">
      <c r="A8" s="18" t="s">
        <v>66</v>
      </c>
      <c r="B8" s="18" t="s">
        <v>67</v>
      </c>
      <c r="C8" s="14" t="s">
        <v>33</v>
      </c>
      <c r="D8" s="16" t="s">
        <v>69</v>
      </c>
    </row>
    <row r="9" ht="30.0" customHeight="1">
      <c r="A9" s="10" t="s">
        <v>66</v>
      </c>
      <c r="B9" s="10" t="s">
        <v>70</v>
      </c>
      <c r="C9" s="14" t="s">
        <v>33</v>
      </c>
      <c r="D9" s="16" t="s">
        <v>74</v>
      </c>
    </row>
    <row r="10" ht="30.0" customHeight="1">
      <c r="A10" s="18" t="s">
        <v>66</v>
      </c>
      <c r="B10" s="18" t="s">
        <v>76</v>
      </c>
      <c r="C10" s="14" t="s">
        <v>33</v>
      </c>
      <c r="D10" s="20" t="s">
        <v>78</v>
      </c>
    </row>
    <row r="11" ht="30.0" customHeight="1">
      <c r="A11" s="10" t="s">
        <v>79</v>
      </c>
      <c r="B11" s="10" t="s">
        <v>80</v>
      </c>
      <c r="C11" s="14" t="s">
        <v>33</v>
      </c>
      <c r="D11" s="16" t="s">
        <v>81</v>
      </c>
    </row>
    <row r="12" ht="30.0" customHeight="1">
      <c r="A12" s="18" t="s">
        <v>79</v>
      </c>
      <c r="B12" s="18" t="s">
        <v>82</v>
      </c>
      <c r="C12" s="14" t="s">
        <v>33</v>
      </c>
      <c r="D12" s="16" t="s">
        <v>84</v>
      </c>
    </row>
    <row r="13" ht="30.0" customHeight="1">
      <c r="A13" s="10" t="s">
        <v>86</v>
      </c>
      <c r="B13" s="10" t="s">
        <v>88</v>
      </c>
      <c r="C13" s="14" t="s">
        <v>33</v>
      </c>
      <c r="D13" s="16" t="s">
        <v>91</v>
      </c>
    </row>
    <row r="14" ht="30.0" customHeight="1">
      <c r="A14" s="18" t="s">
        <v>86</v>
      </c>
      <c r="B14" s="18" t="s">
        <v>92</v>
      </c>
      <c r="C14" s="14" t="s">
        <v>33</v>
      </c>
      <c r="D14" s="16" t="s">
        <v>93</v>
      </c>
    </row>
    <row r="15" ht="30.0" customHeight="1">
      <c r="A15" s="10" t="s">
        <v>94</v>
      </c>
      <c r="B15" s="10" t="s">
        <v>95</v>
      </c>
      <c r="C15" s="27" t="s">
        <v>33</v>
      </c>
      <c r="D15" s="16" t="s">
        <v>101</v>
      </c>
    </row>
    <row r="16" ht="30.0" customHeight="1">
      <c r="A16" s="18" t="s">
        <v>94</v>
      </c>
      <c r="B16" s="18" t="s">
        <v>104</v>
      </c>
      <c r="C16" s="27" t="s">
        <v>33</v>
      </c>
      <c r="D16" s="16" t="s">
        <v>107</v>
      </c>
    </row>
    <row r="17" ht="42.0" customHeight="1">
      <c r="A17" s="10" t="s">
        <v>22</v>
      </c>
      <c r="B17" s="10" t="s">
        <v>109</v>
      </c>
      <c r="C17" s="27" t="s">
        <v>33</v>
      </c>
      <c r="D17" s="16" t="s">
        <v>111</v>
      </c>
    </row>
    <row r="18" ht="42.0" customHeight="1">
      <c r="A18" s="18" t="s">
        <v>22</v>
      </c>
      <c r="B18" s="18" t="s">
        <v>112</v>
      </c>
      <c r="C18" s="27" t="s">
        <v>33</v>
      </c>
      <c r="D18" s="16" t="s">
        <v>115</v>
      </c>
    </row>
    <row r="19" ht="42.0" customHeight="1">
      <c r="A19" s="10" t="s">
        <v>22</v>
      </c>
      <c r="B19" s="10" t="s">
        <v>116</v>
      </c>
      <c r="C19" s="27" t="s">
        <v>33</v>
      </c>
      <c r="D19" s="16" t="s">
        <v>117</v>
      </c>
    </row>
    <row r="20" ht="30.0" customHeight="1">
      <c r="A20" s="18" t="s">
        <v>55</v>
      </c>
      <c r="B20" s="18" t="s">
        <v>118</v>
      </c>
      <c r="C20" s="27" t="s">
        <v>33</v>
      </c>
      <c r="D20" s="16" t="s">
        <v>121</v>
      </c>
    </row>
    <row r="21" ht="30.0" customHeight="1">
      <c r="A21" s="10" t="s">
        <v>55</v>
      </c>
      <c r="B21" s="10" t="s">
        <v>122</v>
      </c>
      <c r="C21" s="27" t="s">
        <v>33</v>
      </c>
      <c r="D21" s="16" t="s">
        <v>123</v>
      </c>
    </row>
    <row r="22" ht="42.0" customHeight="1">
      <c r="A22" s="18" t="s">
        <v>55</v>
      </c>
      <c r="B22" s="18" t="s">
        <v>124</v>
      </c>
      <c r="C22" s="27" t="s">
        <v>33</v>
      </c>
      <c r="D22" s="16" t="s">
        <v>126</v>
      </c>
    </row>
    <row r="23" ht="42.0" customHeight="1">
      <c r="A23" s="10" t="s">
        <v>128</v>
      </c>
      <c r="B23" s="10" t="s">
        <v>129</v>
      </c>
      <c r="C23" s="27" t="s">
        <v>33</v>
      </c>
      <c r="D23" s="16" t="s">
        <v>130</v>
      </c>
    </row>
    <row r="24" ht="42.0" customHeight="1">
      <c r="A24" s="18" t="s">
        <v>128</v>
      </c>
      <c r="B24" s="18" t="s">
        <v>131</v>
      </c>
      <c r="C24" s="27" t="s">
        <v>33</v>
      </c>
      <c r="D24" s="16" t="s">
        <v>132</v>
      </c>
    </row>
    <row r="25" ht="42.0" customHeight="1">
      <c r="A25" s="10" t="s">
        <v>66</v>
      </c>
      <c r="B25" s="10" t="s">
        <v>134</v>
      </c>
      <c r="C25" s="27" t="s">
        <v>33</v>
      </c>
      <c r="D25" s="16" t="s">
        <v>136</v>
      </c>
    </row>
    <row r="26" ht="30.0" customHeight="1">
      <c r="A26" s="18" t="s">
        <v>66</v>
      </c>
      <c r="B26" s="18" t="s">
        <v>137</v>
      </c>
      <c r="C26" s="27" t="s">
        <v>33</v>
      </c>
      <c r="D26" s="16" t="s">
        <v>138</v>
      </c>
    </row>
    <row r="27" ht="42.0" customHeight="1">
      <c r="A27" s="10" t="s">
        <v>66</v>
      </c>
      <c r="B27" s="10" t="s">
        <v>139</v>
      </c>
      <c r="C27" s="27" t="s">
        <v>33</v>
      </c>
      <c r="D27" s="16" t="s">
        <v>142</v>
      </c>
    </row>
    <row r="28" ht="30.0" customHeight="1">
      <c r="A28" s="18" t="s">
        <v>66</v>
      </c>
      <c r="B28" s="18" t="s">
        <v>143</v>
      </c>
      <c r="C28" s="27" t="s">
        <v>33</v>
      </c>
      <c r="D28" s="16" t="s">
        <v>144</v>
      </c>
    </row>
    <row r="29" ht="42.0" customHeight="1">
      <c r="A29" s="10" t="s">
        <v>79</v>
      </c>
      <c r="B29" s="10" t="s">
        <v>145</v>
      </c>
      <c r="C29" s="27" t="s">
        <v>33</v>
      </c>
      <c r="D29" s="16" t="s">
        <v>147</v>
      </c>
    </row>
    <row r="30" ht="30.0" customHeight="1">
      <c r="A30" s="18" t="s">
        <v>79</v>
      </c>
      <c r="B30" s="18" t="s">
        <v>149</v>
      </c>
      <c r="C30" s="27" t="s">
        <v>33</v>
      </c>
      <c r="D30" s="16" t="s">
        <v>150</v>
      </c>
    </row>
    <row r="31" ht="42.0" customHeight="1">
      <c r="A31" s="10" t="s">
        <v>79</v>
      </c>
      <c r="B31" s="10" t="s">
        <v>151</v>
      </c>
      <c r="C31" s="27" t="s">
        <v>33</v>
      </c>
      <c r="D31" s="16" t="s">
        <v>154</v>
      </c>
    </row>
    <row r="32" ht="42.0" customHeight="1">
      <c r="A32" s="18" t="s">
        <v>79</v>
      </c>
      <c r="B32" s="18" t="s">
        <v>155</v>
      </c>
      <c r="C32" s="27" t="s">
        <v>33</v>
      </c>
      <c r="D32" s="16" t="s">
        <v>158</v>
      </c>
    </row>
    <row r="33" ht="42.0" customHeight="1">
      <c r="A33" s="10" t="s">
        <v>94</v>
      </c>
      <c r="B33" s="10" t="s">
        <v>159</v>
      </c>
      <c r="C33" s="27" t="s">
        <v>33</v>
      </c>
      <c r="D33" s="16" t="s">
        <v>160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qref="C3:C33">
      <formula1>"✓,X"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4.71"/>
    <col customWidth="1" min="3" max="3" width="38.86"/>
    <col customWidth="1" min="4" max="4" width="30.14"/>
    <col customWidth="1" min="5" max="6" width="10.71"/>
  </cols>
  <sheetData>
    <row r="1" ht="27.75" customHeight="1">
      <c r="A1" s="31" t="s">
        <v>4</v>
      </c>
      <c r="B1" s="31" t="s">
        <v>9</v>
      </c>
      <c r="C1" s="31" t="s">
        <v>285</v>
      </c>
      <c r="D1" s="31" t="s">
        <v>286</v>
      </c>
    </row>
    <row r="2" ht="43.5" customHeight="1">
      <c r="A2" s="31" t="s">
        <v>287</v>
      </c>
      <c r="B2" s="32" t="s">
        <v>290</v>
      </c>
      <c r="C2" s="31" t="s">
        <v>291</v>
      </c>
      <c r="D2" s="32" t="s">
        <v>292</v>
      </c>
    </row>
    <row r="3" ht="57.75" customHeight="1">
      <c r="A3" s="31" t="s">
        <v>287</v>
      </c>
      <c r="B3" s="32" t="s">
        <v>293</v>
      </c>
      <c r="C3" s="31" t="s">
        <v>291</v>
      </c>
      <c r="D3" s="32" t="s">
        <v>294</v>
      </c>
    </row>
    <row r="4" ht="43.5" customHeight="1">
      <c r="A4" s="31" t="s">
        <v>296</v>
      </c>
      <c r="B4" s="32" t="s">
        <v>298</v>
      </c>
      <c r="C4" s="31" t="s">
        <v>291</v>
      </c>
      <c r="D4" s="32" t="s">
        <v>299</v>
      </c>
    </row>
    <row r="5" ht="72.0" customHeight="1">
      <c r="A5" s="31" t="s">
        <v>296</v>
      </c>
      <c r="B5" s="32" t="s">
        <v>302</v>
      </c>
      <c r="C5" s="31" t="s">
        <v>291</v>
      </c>
      <c r="D5" s="32" t="s">
        <v>303</v>
      </c>
    </row>
    <row r="6" ht="57.75" customHeight="1">
      <c r="A6" s="31" t="s">
        <v>304</v>
      </c>
      <c r="B6" s="32" t="s">
        <v>305</v>
      </c>
      <c r="C6" s="31" t="s">
        <v>291</v>
      </c>
      <c r="D6" s="32" t="s">
        <v>306</v>
      </c>
    </row>
    <row r="7" ht="57.75" customHeight="1">
      <c r="A7" s="31" t="s">
        <v>304</v>
      </c>
      <c r="B7" s="32" t="s">
        <v>309</v>
      </c>
      <c r="C7" s="31" t="s">
        <v>291</v>
      </c>
      <c r="D7" s="32" t="s">
        <v>310</v>
      </c>
    </row>
    <row r="8" ht="57.75" customHeight="1">
      <c r="A8" s="31" t="s">
        <v>311</v>
      </c>
      <c r="B8" s="32" t="s">
        <v>312</v>
      </c>
      <c r="C8" s="31" t="s">
        <v>291</v>
      </c>
      <c r="D8" s="32" t="s">
        <v>313</v>
      </c>
    </row>
    <row r="9" ht="57.75" customHeight="1">
      <c r="A9" s="31" t="s">
        <v>311</v>
      </c>
      <c r="B9" s="32" t="s">
        <v>315</v>
      </c>
      <c r="C9" s="31" t="s">
        <v>291</v>
      </c>
      <c r="D9" s="32" t="s">
        <v>317</v>
      </c>
    </row>
    <row r="10" ht="43.5" customHeight="1">
      <c r="A10" s="31" t="s">
        <v>319</v>
      </c>
      <c r="B10" s="32" t="s">
        <v>321</v>
      </c>
      <c r="C10" s="31" t="s">
        <v>291</v>
      </c>
      <c r="D10" s="32" t="s">
        <v>323</v>
      </c>
    </row>
    <row r="11" ht="57.75" customHeight="1">
      <c r="A11" s="31" t="s">
        <v>319</v>
      </c>
      <c r="B11" s="32" t="s">
        <v>325</v>
      </c>
      <c r="C11" s="31" t="s">
        <v>291</v>
      </c>
      <c r="D11" s="32" t="s">
        <v>326</v>
      </c>
    </row>
    <row r="12" ht="57.75" customHeight="1">
      <c r="A12" s="31" t="s">
        <v>327</v>
      </c>
      <c r="B12" s="32" t="s">
        <v>328</v>
      </c>
      <c r="C12" s="31" t="s">
        <v>291</v>
      </c>
      <c r="D12" s="32" t="s">
        <v>329</v>
      </c>
    </row>
    <row r="13" ht="43.5" customHeight="1">
      <c r="A13" s="31" t="s">
        <v>327</v>
      </c>
      <c r="B13" s="32" t="s">
        <v>331</v>
      </c>
      <c r="C13" s="31" t="s">
        <v>291</v>
      </c>
      <c r="D13" s="32" t="s">
        <v>333</v>
      </c>
    </row>
    <row r="14" ht="57.75" customHeight="1">
      <c r="A14" s="31" t="s">
        <v>287</v>
      </c>
      <c r="B14" s="32" t="s">
        <v>336</v>
      </c>
      <c r="C14" s="31" t="s">
        <v>291</v>
      </c>
      <c r="D14" s="32" t="s">
        <v>337</v>
      </c>
    </row>
    <row r="15" ht="57.75" customHeight="1">
      <c r="A15" s="31" t="s">
        <v>296</v>
      </c>
      <c r="B15" s="32" t="s">
        <v>339</v>
      </c>
      <c r="C15" s="31" t="s">
        <v>291</v>
      </c>
      <c r="D15" s="32" t="s">
        <v>340</v>
      </c>
    </row>
    <row r="16" ht="43.5" customHeight="1">
      <c r="A16" s="31" t="s">
        <v>296</v>
      </c>
      <c r="B16" s="32" t="s">
        <v>341</v>
      </c>
      <c r="C16" s="31" t="s">
        <v>291</v>
      </c>
      <c r="D16" s="32" t="s">
        <v>343</v>
      </c>
    </row>
    <row r="17" ht="57.75" customHeight="1">
      <c r="A17" s="31" t="s">
        <v>304</v>
      </c>
      <c r="B17" s="32" t="s">
        <v>346</v>
      </c>
      <c r="C17" s="31" t="s">
        <v>291</v>
      </c>
      <c r="D17" s="32" t="s">
        <v>348</v>
      </c>
    </row>
    <row r="18" ht="43.5" customHeight="1">
      <c r="A18" s="31" t="s">
        <v>304</v>
      </c>
      <c r="B18" s="32" t="s">
        <v>349</v>
      </c>
      <c r="C18" s="31" t="s">
        <v>291</v>
      </c>
      <c r="D18" s="32" t="s">
        <v>350</v>
      </c>
    </row>
    <row r="19" ht="57.75" customHeight="1">
      <c r="A19" s="31" t="s">
        <v>304</v>
      </c>
      <c r="B19" s="32" t="s">
        <v>351</v>
      </c>
      <c r="C19" s="31" t="s">
        <v>291</v>
      </c>
      <c r="D19" s="32" t="s">
        <v>352</v>
      </c>
    </row>
    <row r="20" ht="43.5" customHeight="1">
      <c r="A20" s="31" t="s">
        <v>311</v>
      </c>
      <c r="B20" s="32" t="s">
        <v>354</v>
      </c>
      <c r="C20" s="31" t="s">
        <v>291</v>
      </c>
      <c r="D20" s="32" t="s">
        <v>356</v>
      </c>
    </row>
    <row r="21" ht="43.5" customHeight="1">
      <c r="A21" s="31" t="s">
        <v>311</v>
      </c>
      <c r="B21" s="32" t="s">
        <v>359</v>
      </c>
      <c r="C21" s="31" t="s">
        <v>291</v>
      </c>
      <c r="D21" s="32" t="s">
        <v>360</v>
      </c>
    </row>
    <row r="22" ht="43.5" customHeight="1">
      <c r="A22" s="31" t="s">
        <v>319</v>
      </c>
      <c r="B22" s="32" t="s">
        <v>361</v>
      </c>
      <c r="C22" s="31" t="s">
        <v>291</v>
      </c>
      <c r="D22" s="32" t="s">
        <v>362</v>
      </c>
    </row>
    <row r="23" ht="43.5" customHeight="1">
      <c r="A23" s="31" t="s">
        <v>327</v>
      </c>
      <c r="B23" s="32" t="s">
        <v>363</v>
      </c>
      <c r="C23" s="31" t="s">
        <v>291</v>
      </c>
      <c r="D23" s="32" t="s">
        <v>364</v>
      </c>
    </row>
    <row r="24" ht="43.5" customHeight="1">
      <c r="A24" s="31" t="s">
        <v>327</v>
      </c>
      <c r="B24" s="32" t="s">
        <v>366</v>
      </c>
      <c r="C24" s="31" t="s">
        <v>291</v>
      </c>
      <c r="D24" s="32" t="s">
        <v>368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34.86"/>
    <col customWidth="1" min="3" max="3" width="38.29"/>
    <col customWidth="1" min="4" max="4" width="39.29"/>
    <col customWidth="1" min="5" max="5" width="25.29"/>
    <col customWidth="1" min="6" max="6" width="10.71"/>
  </cols>
  <sheetData>
    <row r="1" ht="14.25" customHeight="1">
      <c r="A1" s="33" t="s">
        <v>393</v>
      </c>
    </row>
    <row r="2" ht="14.25" customHeight="1">
      <c r="A2" s="34"/>
    </row>
    <row r="3" ht="14.25" customHeight="1">
      <c r="A3" s="35" t="s">
        <v>396</v>
      </c>
      <c r="B3" s="36" t="s">
        <v>400</v>
      </c>
      <c r="C3" s="37" t="s">
        <v>403</v>
      </c>
      <c r="D3" s="36" t="s">
        <v>404</v>
      </c>
      <c r="E3" s="38" t="s">
        <v>405</v>
      </c>
    </row>
    <row r="4" ht="28.5" customHeight="1">
      <c r="A4" s="39" t="s">
        <v>408</v>
      </c>
      <c r="B4" s="40" t="s">
        <v>413</v>
      </c>
      <c r="C4" s="40" t="s">
        <v>416</v>
      </c>
      <c r="D4" s="40" t="s">
        <v>421</v>
      </c>
      <c r="E4" s="40" t="s">
        <v>424</v>
      </c>
    </row>
    <row r="5" ht="7.5" customHeight="1">
      <c r="A5" s="41"/>
      <c r="B5" s="41"/>
      <c r="C5" s="41"/>
      <c r="D5" s="40"/>
      <c r="E5" s="40"/>
    </row>
    <row r="6" ht="28.5" customHeight="1">
      <c r="A6" s="41"/>
      <c r="B6" s="41"/>
      <c r="C6" s="41"/>
      <c r="D6" s="40" t="s">
        <v>431</v>
      </c>
      <c r="E6" s="40" t="s">
        <v>432</v>
      </c>
    </row>
    <row r="7" ht="7.5" customHeight="1">
      <c r="A7" s="41"/>
      <c r="B7" s="41"/>
      <c r="C7" s="41"/>
      <c r="D7" s="40"/>
      <c r="E7" s="40"/>
    </row>
    <row r="8" ht="43.5" customHeight="1">
      <c r="A8" s="41"/>
      <c r="B8" s="41"/>
      <c r="C8" s="41"/>
      <c r="D8" s="40" t="s">
        <v>437</v>
      </c>
      <c r="E8" s="40" t="s">
        <v>438</v>
      </c>
    </row>
    <row r="9" ht="7.5" customHeight="1">
      <c r="A9" s="41"/>
      <c r="B9" s="41"/>
      <c r="C9" s="41"/>
      <c r="D9" s="40"/>
      <c r="E9" s="40"/>
    </row>
    <row r="10" ht="43.5" customHeight="1">
      <c r="A10" s="41"/>
      <c r="B10" s="41"/>
      <c r="C10" s="41"/>
      <c r="D10" s="40" t="s">
        <v>441</v>
      </c>
      <c r="E10" s="40" t="s">
        <v>442</v>
      </c>
    </row>
    <row r="11" ht="7.5" customHeight="1">
      <c r="A11" s="41"/>
      <c r="B11" s="41"/>
      <c r="C11" s="41"/>
      <c r="D11" s="40"/>
      <c r="E11" s="40"/>
    </row>
    <row r="12" ht="28.5" customHeight="1">
      <c r="A12" s="41"/>
      <c r="B12" s="41"/>
      <c r="C12" s="41"/>
      <c r="D12" s="40" t="s">
        <v>444</v>
      </c>
      <c r="E12" s="40" t="s">
        <v>446</v>
      </c>
    </row>
    <row r="13" ht="7.5" customHeight="1">
      <c r="A13" s="41"/>
      <c r="B13" s="41"/>
      <c r="C13" s="41"/>
      <c r="D13" s="40"/>
      <c r="E13" s="40"/>
    </row>
    <row r="14" ht="28.5" customHeight="1">
      <c r="A14" s="41"/>
      <c r="B14" s="41"/>
      <c r="C14" s="41"/>
      <c r="D14" s="40" t="s">
        <v>447</v>
      </c>
      <c r="E14" s="40" t="s">
        <v>449</v>
      </c>
    </row>
    <row r="15" ht="7.5" customHeight="1">
      <c r="A15" s="41"/>
      <c r="B15" s="41"/>
      <c r="C15" s="41"/>
      <c r="D15" s="40"/>
      <c r="E15" s="40"/>
    </row>
    <row r="16" ht="43.5" customHeight="1">
      <c r="A16" s="41"/>
      <c r="B16" s="41"/>
      <c r="C16" s="41"/>
      <c r="D16" s="40" t="s">
        <v>451</v>
      </c>
      <c r="E16" s="40" t="s">
        <v>453</v>
      </c>
    </row>
    <row r="17" ht="7.5" customHeight="1">
      <c r="A17" s="41"/>
      <c r="B17" s="41"/>
      <c r="C17" s="41"/>
      <c r="D17" s="40"/>
      <c r="E17" s="40"/>
    </row>
    <row r="18" ht="28.5" customHeight="1">
      <c r="A18" s="42"/>
      <c r="B18" s="42"/>
      <c r="C18" s="42"/>
      <c r="D18" s="43" t="s">
        <v>457</v>
      </c>
      <c r="E18" s="43" t="s">
        <v>458</v>
      </c>
    </row>
    <row r="19" ht="28.5" customHeight="1">
      <c r="A19" s="44" t="s">
        <v>459</v>
      </c>
      <c r="B19" s="45" t="s">
        <v>466</v>
      </c>
      <c r="C19" s="45" t="s">
        <v>469</v>
      </c>
      <c r="D19" s="45" t="s">
        <v>474</v>
      </c>
      <c r="E19" s="45" t="s">
        <v>475</v>
      </c>
    </row>
    <row r="20" ht="7.5" customHeight="1">
      <c r="A20" s="41"/>
      <c r="B20" s="41"/>
      <c r="C20" s="41"/>
      <c r="D20" s="40"/>
      <c r="E20" s="40"/>
    </row>
    <row r="21" ht="57.75" customHeight="1">
      <c r="A21" s="41"/>
      <c r="B21" s="41"/>
      <c r="C21" s="41"/>
      <c r="D21" s="40" t="s">
        <v>479</v>
      </c>
      <c r="E21" s="40" t="s">
        <v>480</v>
      </c>
    </row>
    <row r="22" ht="7.5" customHeight="1">
      <c r="A22" s="41"/>
      <c r="B22" s="41"/>
      <c r="C22" s="41"/>
      <c r="D22" s="40"/>
      <c r="E22" s="40"/>
    </row>
    <row r="23" ht="57.75" customHeight="1">
      <c r="A23" s="41"/>
      <c r="B23" s="41"/>
      <c r="C23" s="41"/>
      <c r="D23" s="40" t="s">
        <v>483</v>
      </c>
      <c r="E23" s="40" t="s">
        <v>484</v>
      </c>
    </row>
    <row r="24" ht="7.5" customHeight="1">
      <c r="A24" s="41"/>
      <c r="B24" s="41"/>
      <c r="C24" s="41"/>
      <c r="D24" s="40"/>
      <c r="E24" s="40"/>
    </row>
    <row r="25" ht="43.5" customHeight="1">
      <c r="A25" s="41"/>
      <c r="B25" s="41"/>
      <c r="C25" s="41"/>
      <c r="D25" s="40" t="s">
        <v>487</v>
      </c>
      <c r="E25" s="40" t="s">
        <v>488</v>
      </c>
    </row>
    <row r="26" ht="7.5" customHeight="1">
      <c r="A26" s="41"/>
      <c r="B26" s="41"/>
      <c r="C26" s="41"/>
      <c r="D26" s="40"/>
      <c r="E26" s="40"/>
    </row>
    <row r="27" ht="43.5" customHeight="1">
      <c r="A27" s="42"/>
      <c r="B27" s="42"/>
      <c r="C27" s="42"/>
      <c r="D27" s="43" t="s">
        <v>489</v>
      </c>
      <c r="E27" s="43" t="s">
        <v>490</v>
      </c>
    </row>
    <row r="28" ht="28.5" customHeight="1">
      <c r="A28" s="44" t="s">
        <v>491</v>
      </c>
      <c r="B28" s="45" t="s">
        <v>496</v>
      </c>
      <c r="C28" s="45" t="s">
        <v>503</v>
      </c>
      <c r="D28" s="45" t="s">
        <v>509</v>
      </c>
      <c r="E28" s="45" t="s">
        <v>511</v>
      </c>
    </row>
    <row r="29" ht="7.5" customHeight="1">
      <c r="A29" s="41"/>
      <c r="B29" s="41"/>
      <c r="C29" s="41"/>
      <c r="D29" s="40"/>
      <c r="E29" s="40"/>
    </row>
    <row r="30" ht="43.5" customHeight="1">
      <c r="A30" s="41"/>
      <c r="B30" s="41"/>
      <c r="C30" s="41"/>
      <c r="D30" s="40" t="s">
        <v>487</v>
      </c>
      <c r="E30" s="40" t="s">
        <v>488</v>
      </c>
    </row>
    <row r="31" ht="7.5" customHeight="1">
      <c r="A31" s="41"/>
      <c r="B31" s="41"/>
      <c r="C31" s="41"/>
      <c r="D31" s="40"/>
      <c r="E31" s="40"/>
    </row>
    <row r="32" ht="28.5" customHeight="1">
      <c r="A32" s="41"/>
      <c r="B32" s="41"/>
      <c r="C32" s="41"/>
      <c r="D32" s="40" t="s">
        <v>519</v>
      </c>
      <c r="E32" s="40" t="s">
        <v>520</v>
      </c>
    </row>
    <row r="33" ht="7.5" customHeight="1">
      <c r="A33" s="41"/>
      <c r="B33" s="41"/>
      <c r="C33" s="41"/>
      <c r="D33" s="40"/>
      <c r="E33" s="40"/>
    </row>
    <row r="34" ht="43.5" customHeight="1">
      <c r="A34" s="41"/>
      <c r="B34" s="41"/>
      <c r="C34" s="41"/>
      <c r="D34" s="40" t="s">
        <v>525</v>
      </c>
      <c r="E34" s="40" t="s">
        <v>526</v>
      </c>
    </row>
    <row r="35" ht="7.5" customHeight="1">
      <c r="A35" s="41"/>
      <c r="B35" s="41"/>
      <c r="C35" s="41"/>
      <c r="D35" s="40"/>
      <c r="E35" s="40"/>
    </row>
    <row r="36" ht="43.5" customHeight="1">
      <c r="A36" s="41"/>
      <c r="B36" s="41"/>
      <c r="C36" s="41"/>
      <c r="D36" s="40" t="s">
        <v>531</v>
      </c>
      <c r="E36" s="40" t="s">
        <v>532</v>
      </c>
    </row>
    <row r="37" ht="7.5" customHeight="1">
      <c r="A37" s="41"/>
      <c r="B37" s="41"/>
      <c r="C37" s="41"/>
      <c r="D37" s="40"/>
      <c r="E37" s="40"/>
    </row>
    <row r="38" ht="43.5" customHeight="1">
      <c r="A38" s="41"/>
      <c r="B38" s="41"/>
      <c r="C38" s="41"/>
      <c r="D38" s="40" t="s">
        <v>536</v>
      </c>
      <c r="E38" s="40" t="s">
        <v>537</v>
      </c>
    </row>
    <row r="39" ht="7.5" customHeight="1">
      <c r="A39" s="41"/>
      <c r="B39" s="41"/>
      <c r="C39" s="41"/>
      <c r="D39" s="40"/>
      <c r="E39" s="40"/>
    </row>
    <row r="40" ht="28.5" customHeight="1">
      <c r="A40" s="41"/>
      <c r="B40" s="41"/>
      <c r="C40" s="41"/>
      <c r="D40" s="40" t="s">
        <v>542</v>
      </c>
      <c r="E40" s="40" t="s">
        <v>537</v>
      </c>
    </row>
    <row r="41" ht="7.5" customHeight="1">
      <c r="A41" s="41"/>
      <c r="B41" s="41"/>
      <c r="C41" s="41"/>
      <c r="D41" s="40"/>
      <c r="E41" s="40"/>
    </row>
    <row r="42" ht="28.5" customHeight="1">
      <c r="A42" s="41"/>
      <c r="B42" s="41"/>
      <c r="C42" s="41"/>
      <c r="D42" s="40" t="s">
        <v>548</v>
      </c>
      <c r="E42" s="40" t="s">
        <v>549</v>
      </c>
    </row>
    <row r="43" ht="7.5" customHeight="1">
      <c r="A43" s="41"/>
      <c r="B43" s="41"/>
      <c r="C43" s="41"/>
      <c r="D43" s="40"/>
      <c r="E43" s="40"/>
    </row>
    <row r="44" ht="14.25" customHeight="1">
      <c r="A44" s="41"/>
      <c r="B44" s="41"/>
      <c r="C44" s="41"/>
      <c r="D44" s="40" t="s">
        <v>553</v>
      </c>
      <c r="E44" s="40" t="s">
        <v>554</v>
      </c>
    </row>
    <row r="45" ht="7.5" customHeight="1">
      <c r="A45" s="41"/>
      <c r="B45" s="41"/>
      <c r="C45" s="41"/>
      <c r="D45" s="40"/>
      <c r="E45" s="40"/>
    </row>
    <row r="46" ht="28.5" customHeight="1">
      <c r="A46" s="41"/>
      <c r="B46" s="41"/>
      <c r="C46" s="41"/>
      <c r="D46" s="40" t="s">
        <v>559</v>
      </c>
      <c r="E46" s="40" t="s">
        <v>560</v>
      </c>
    </row>
    <row r="47" ht="7.5" customHeight="1">
      <c r="A47" s="41"/>
      <c r="B47" s="41"/>
      <c r="C47" s="41"/>
      <c r="D47" s="40"/>
      <c r="E47" s="40"/>
    </row>
    <row r="48" ht="28.5" customHeight="1">
      <c r="A48" s="41"/>
      <c r="B48" s="41"/>
      <c r="C48" s="41"/>
      <c r="D48" s="40" t="s">
        <v>564</v>
      </c>
      <c r="E48" s="40" t="s">
        <v>566</v>
      </c>
    </row>
    <row r="49" ht="7.5" customHeight="1">
      <c r="A49" s="41"/>
      <c r="B49" s="41"/>
      <c r="C49" s="41"/>
      <c r="D49" s="40"/>
      <c r="E49" s="40"/>
    </row>
    <row r="50" ht="43.5" customHeight="1">
      <c r="A50" s="41"/>
      <c r="B50" s="41"/>
      <c r="C50" s="41"/>
      <c r="D50" s="40" t="s">
        <v>570</v>
      </c>
      <c r="E50" s="40" t="s">
        <v>571</v>
      </c>
    </row>
    <row r="51" ht="7.5" customHeight="1">
      <c r="A51" s="41"/>
      <c r="B51" s="41"/>
      <c r="C51" s="41"/>
      <c r="D51" s="40"/>
      <c r="E51" s="40"/>
    </row>
    <row r="52" ht="57.75" customHeight="1">
      <c r="A52" s="41"/>
      <c r="B52" s="41"/>
      <c r="C52" s="41"/>
      <c r="D52" s="40" t="s">
        <v>576</v>
      </c>
      <c r="E52" s="40" t="s">
        <v>577</v>
      </c>
    </row>
    <row r="53" ht="7.5" customHeight="1">
      <c r="A53" s="41"/>
      <c r="B53" s="41"/>
      <c r="C53" s="41"/>
      <c r="D53" s="40"/>
      <c r="E53" s="40"/>
    </row>
    <row r="54" ht="43.5" customHeight="1">
      <c r="A54" s="41"/>
      <c r="B54" s="41"/>
      <c r="C54" s="41"/>
      <c r="D54" s="40" t="s">
        <v>582</v>
      </c>
      <c r="E54" s="40" t="s">
        <v>490</v>
      </c>
    </row>
    <row r="55" ht="7.5" customHeight="1">
      <c r="A55" s="41"/>
      <c r="B55" s="41"/>
      <c r="C55" s="41"/>
      <c r="D55" s="40"/>
      <c r="E55" s="40"/>
    </row>
    <row r="56" ht="43.5" customHeight="1">
      <c r="A56" s="42"/>
      <c r="B56" s="42"/>
      <c r="C56" s="42"/>
      <c r="D56" s="43" t="s">
        <v>589</v>
      </c>
      <c r="E56" s="43" t="s">
        <v>590</v>
      </c>
    </row>
    <row r="57" ht="57.75" customHeight="1">
      <c r="A57" s="44" t="s">
        <v>591</v>
      </c>
      <c r="B57" s="45" t="s">
        <v>596</v>
      </c>
      <c r="C57" s="45" t="s">
        <v>598</v>
      </c>
      <c r="D57" s="45" t="s">
        <v>602</v>
      </c>
      <c r="E57" s="45" t="s">
        <v>603</v>
      </c>
    </row>
    <row r="58" ht="7.5" customHeight="1">
      <c r="A58" s="41"/>
      <c r="B58" s="41"/>
      <c r="C58" s="41"/>
      <c r="D58" s="40"/>
      <c r="E58" s="40"/>
    </row>
    <row r="59" ht="57.75" customHeight="1">
      <c r="A59" s="41"/>
      <c r="B59" s="41"/>
      <c r="C59" s="41"/>
      <c r="D59" s="40" t="s">
        <v>607</v>
      </c>
      <c r="E59" s="40" t="s">
        <v>603</v>
      </c>
    </row>
    <row r="60" ht="7.5" customHeight="1">
      <c r="A60" s="41"/>
      <c r="B60" s="41"/>
      <c r="C60" s="41"/>
      <c r="D60" s="40"/>
      <c r="E60" s="40"/>
    </row>
    <row r="61" ht="43.5" customHeight="1">
      <c r="A61" s="42"/>
      <c r="B61" s="42"/>
      <c r="C61" s="42"/>
      <c r="D61" s="43" t="s">
        <v>613</v>
      </c>
      <c r="E61" s="43" t="s">
        <v>614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8:B56"/>
    <mergeCell ref="C28:C56"/>
    <mergeCell ref="A57:A61"/>
    <mergeCell ref="B57:B61"/>
    <mergeCell ref="C57:C61"/>
    <mergeCell ref="A4:A18"/>
    <mergeCell ref="B4:B18"/>
    <mergeCell ref="C4:C18"/>
    <mergeCell ref="A19:A27"/>
    <mergeCell ref="B19:B27"/>
    <mergeCell ref="C19:C27"/>
    <mergeCell ref="A28:A5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8.29"/>
    <col customWidth="1" min="3" max="3" width="41.71"/>
    <col customWidth="1" min="4" max="4" width="50.0"/>
    <col customWidth="1" min="5" max="6" width="10.71"/>
  </cols>
  <sheetData>
    <row r="1" ht="14.25" customHeight="1">
      <c r="A1" s="33" t="s">
        <v>495</v>
      </c>
    </row>
    <row r="2" ht="14.25" customHeight="1"/>
    <row r="3" ht="14.25" customHeight="1">
      <c r="A3" s="31" t="s">
        <v>499</v>
      </c>
      <c r="B3" s="31" t="s">
        <v>500</v>
      </c>
      <c r="C3" s="31" t="s">
        <v>501</v>
      </c>
      <c r="D3" s="31" t="s">
        <v>502</v>
      </c>
    </row>
    <row r="4" ht="14.25" customHeight="1">
      <c r="A4" s="44" t="s">
        <v>218</v>
      </c>
      <c r="B4" s="45" t="s">
        <v>508</v>
      </c>
      <c r="C4" s="45" t="s">
        <v>514</v>
      </c>
      <c r="D4" s="45" t="s">
        <v>518</v>
      </c>
    </row>
    <row r="5" ht="14.25" customHeight="1">
      <c r="A5" s="41"/>
      <c r="B5" s="41"/>
      <c r="C5" s="41"/>
      <c r="D5" s="40"/>
    </row>
    <row r="6" ht="14.25" customHeight="1">
      <c r="A6" s="41"/>
      <c r="B6" s="41"/>
      <c r="C6" s="41"/>
      <c r="D6" s="40" t="s">
        <v>522</v>
      </c>
    </row>
    <row r="7" ht="14.25" customHeight="1">
      <c r="A7" s="41"/>
      <c r="B7" s="41"/>
      <c r="C7" s="41"/>
      <c r="D7" s="40"/>
    </row>
    <row r="8" ht="14.25" customHeight="1">
      <c r="A8" s="41"/>
      <c r="B8" s="41"/>
      <c r="C8" s="41"/>
      <c r="D8" s="40" t="s">
        <v>524</v>
      </c>
    </row>
    <row r="9" ht="14.25" customHeight="1">
      <c r="A9" s="41"/>
      <c r="B9" s="41"/>
      <c r="C9" s="41"/>
      <c r="D9" s="40"/>
    </row>
    <row r="10" ht="14.25" customHeight="1">
      <c r="A10" s="41"/>
      <c r="B10" s="41"/>
      <c r="C10" s="41"/>
      <c r="D10" s="40" t="s">
        <v>529</v>
      </c>
    </row>
    <row r="11" ht="14.25" customHeight="1">
      <c r="A11" s="41"/>
      <c r="B11" s="41"/>
      <c r="C11" s="41"/>
      <c r="D11" s="40"/>
    </row>
    <row r="12" ht="14.25" customHeight="1">
      <c r="A12" s="41"/>
      <c r="B12" s="41"/>
      <c r="C12" s="41"/>
      <c r="D12" s="40" t="s">
        <v>530</v>
      </c>
    </row>
    <row r="13" ht="14.25" customHeight="1">
      <c r="A13" s="41"/>
      <c r="B13" s="41"/>
      <c r="C13" s="41"/>
      <c r="D13" s="40"/>
    </row>
    <row r="14" ht="28.5" customHeight="1">
      <c r="A14" s="41"/>
      <c r="B14" s="41"/>
      <c r="C14" s="41"/>
      <c r="D14" s="40" t="s">
        <v>535</v>
      </c>
    </row>
    <row r="15" ht="14.25" customHeight="1">
      <c r="A15" s="41"/>
      <c r="B15" s="41"/>
      <c r="C15" s="41"/>
      <c r="D15" s="40"/>
    </row>
    <row r="16" ht="14.25" customHeight="1">
      <c r="A16" s="41"/>
      <c r="B16" s="41"/>
      <c r="C16" s="41"/>
      <c r="D16" s="40" t="s">
        <v>538</v>
      </c>
    </row>
    <row r="17" ht="14.25" customHeight="1">
      <c r="A17" s="41"/>
      <c r="B17" s="41"/>
      <c r="C17" s="41"/>
      <c r="D17" s="40"/>
    </row>
    <row r="18" ht="14.25" customHeight="1">
      <c r="A18" s="41"/>
      <c r="B18" s="41"/>
      <c r="C18" s="41"/>
      <c r="D18" s="40" t="s">
        <v>541</v>
      </c>
    </row>
    <row r="19" ht="14.25" customHeight="1">
      <c r="A19" s="41"/>
      <c r="B19" s="41"/>
      <c r="C19" s="41"/>
      <c r="D19" s="40"/>
    </row>
    <row r="20" ht="14.25" customHeight="1">
      <c r="A20" s="42"/>
      <c r="B20" s="42"/>
      <c r="C20" s="42"/>
      <c r="D20" s="43" t="s">
        <v>543</v>
      </c>
    </row>
    <row r="21" ht="14.25" customHeight="1">
      <c r="A21" s="44" t="s">
        <v>108</v>
      </c>
      <c r="B21" s="45" t="s">
        <v>550</v>
      </c>
      <c r="C21" s="45" t="s">
        <v>555</v>
      </c>
      <c r="D21" s="45" t="s">
        <v>558</v>
      </c>
    </row>
    <row r="22" ht="14.25" customHeight="1">
      <c r="A22" s="41"/>
      <c r="B22" s="41"/>
      <c r="C22" s="41"/>
      <c r="D22" s="40"/>
    </row>
    <row r="23" ht="14.25" customHeight="1">
      <c r="A23" s="41"/>
      <c r="B23" s="41"/>
      <c r="C23" s="41"/>
      <c r="D23" s="40" t="s">
        <v>561</v>
      </c>
    </row>
    <row r="24" ht="14.25" customHeight="1">
      <c r="A24" s="41"/>
      <c r="B24" s="41"/>
      <c r="C24" s="41"/>
      <c r="D24" s="40"/>
    </row>
    <row r="25" ht="14.25" customHeight="1">
      <c r="A25" s="41"/>
      <c r="B25" s="41"/>
      <c r="C25" s="41"/>
      <c r="D25" s="40" t="s">
        <v>565</v>
      </c>
    </row>
    <row r="26" ht="14.25" customHeight="1">
      <c r="A26" s="41"/>
      <c r="B26" s="41"/>
      <c r="C26" s="41"/>
      <c r="D26" s="40"/>
    </row>
    <row r="27" ht="14.25" customHeight="1">
      <c r="A27" s="41"/>
      <c r="B27" s="41"/>
      <c r="C27" s="41"/>
      <c r="D27" s="40" t="s">
        <v>567</v>
      </c>
    </row>
    <row r="28" ht="14.25" customHeight="1">
      <c r="A28" s="41"/>
      <c r="B28" s="41"/>
      <c r="C28" s="41"/>
      <c r="D28" s="40"/>
    </row>
    <row r="29" ht="14.25" customHeight="1">
      <c r="A29" s="41"/>
      <c r="B29" s="41"/>
      <c r="C29" s="41"/>
      <c r="D29" s="40" t="s">
        <v>572</v>
      </c>
    </row>
    <row r="30" ht="14.25" customHeight="1">
      <c r="A30" s="41"/>
      <c r="B30" s="41"/>
      <c r="C30" s="41"/>
      <c r="D30" s="40"/>
    </row>
    <row r="31" ht="14.25" customHeight="1">
      <c r="A31" s="41"/>
      <c r="B31" s="41"/>
      <c r="C31" s="41"/>
      <c r="D31" s="40" t="s">
        <v>573</v>
      </c>
    </row>
    <row r="32" ht="14.25" customHeight="1">
      <c r="A32" s="41"/>
      <c r="B32" s="41"/>
      <c r="C32" s="41"/>
      <c r="D32" s="40"/>
    </row>
    <row r="33" ht="14.25" customHeight="1">
      <c r="A33" s="41"/>
      <c r="B33" s="41"/>
      <c r="C33" s="41"/>
      <c r="D33" s="40" t="s">
        <v>578</v>
      </c>
    </row>
    <row r="34" ht="14.25" customHeight="1">
      <c r="A34" s="41"/>
      <c r="B34" s="41"/>
      <c r="C34" s="41"/>
      <c r="D34" s="40"/>
    </row>
    <row r="35" ht="28.5" customHeight="1">
      <c r="A35" s="41"/>
      <c r="B35" s="41"/>
      <c r="C35" s="41"/>
      <c r="D35" s="40" t="s">
        <v>579</v>
      </c>
    </row>
    <row r="36" ht="14.25" customHeight="1">
      <c r="A36" s="41"/>
      <c r="B36" s="41"/>
      <c r="C36" s="41"/>
      <c r="D36" s="40"/>
    </row>
    <row r="37" ht="14.25" customHeight="1">
      <c r="A37" s="42"/>
      <c r="B37" s="42"/>
      <c r="C37" s="42"/>
      <c r="D37" s="43" t="s">
        <v>585</v>
      </c>
    </row>
    <row r="38" ht="14.25" customHeight="1">
      <c r="A38" s="44" t="s">
        <v>37</v>
      </c>
      <c r="B38" s="45" t="s">
        <v>588</v>
      </c>
      <c r="C38" s="45" t="s">
        <v>592</v>
      </c>
      <c r="D38" s="45" t="s">
        <v>595</v>
      </c>
    </row>
    <row r="39" ht="14.25" customHeight="1">
      <c r="A39" s="41"/>
      <c r="B39" s="41"/>
      <c r="C39" s="41"/>
      <c r="D39" s="40"/>
    </row>
    <row r="40" ht="14.25" customHeight="1">
      <c r="A40" s="41"/>
      <c r="B40" s="41"/>
      <c r="C40" s="41"/>
      <c r="D40" s="40" t="s">
        <v>597</v>
      </c>
    </row>
    <row r="41" ht="14.25" customHeight="1">
      <c r="A41" s="41"/>
      <c r="B41" s="41"/>
      <c r="C41" s="41"/>
      <c r="D41" s="40"/>
    </row>
    <row r="42" ht="14.25" customHeight="1">
      <c r="A42" s="41"/>
      <c r="B42" s="41"/>
      <c r="C42" s="41"/>
      <c r="D42" s="40" t="s">
        <v>601</v>
      </c>
    </row>
    <row r="43" ht="14.25" customHeight="1">
      <c r="A43" s="41"/>
      <c r="B43" s="41"/>
      <c r="C43" s="41"/>
      <c r="D43" s="40"/>
    </row>
    <row r="44" ht="14.25" customHeight="1">
      <c r="A44" s="42"/>
      <c r="B44" s="42"/>
      <c r="C44" s="42"/>
      <c r="D44" s="43" t="s">
        <v>604</v>
      </c>
    </row>
    <row r="45" ht="14.25" customHeight="1">
      <c r="A45" s="44" t="s">
        <v>266</v>
      </c>
      <c r="B45" s="45" t="s">
        <v>608</v>
      </c>
      <c r="C45" s="45" t="s">
        <v>611</v>
      </c>
      <c r="D45" s="45" t="s">
        <v>615</v>
      </c>
    </row>
    <row r="46" ht="14.25" customHeight="1">
      <c r="A46" s="41"/>
      <c r="B46" s="41"/>
      <c r="C46" s="41"/>
      <c r="D46" s="40"/>
    </row>
    <row r="47" ht="14.25" customHeight="1">
      <c r="A47" s="41"/>
      <c r="B47" s="41"/>
      <c r="C47" s="41"/>
      <c r="D47" s="40" t="s">
        <v>619</v>
      </c>
    </row>
    <row r="48" ht="14.25" customHeight="1">
      <c r="A48" s="41"/>
      <c r="B48" s="41"/>
      <c r="C48" s="41"/>
      <c r="D48" s="40"/>
    </row>
    <row r="49" ht="14.25" customHeight="1">
      <c r="A49" s="41"/>
      <c r="B49" s="41"/>
      <c r="C49" s="41"/>
      <c r="D49" s="40" t="s">
        <v>621</v>
      </c>
    </row>
    <row r="50" ht="14.25" customHeight="1">
      <c r="A50" s="41"/>
      <c r="B50" s="41"/>
      <c r="C50" s="41"/>
      <c r="D50" s="40"/>
    </row>
    <row r="51" ht="14.25" customHeight="1">
      <c r="A51" s="41"/>
      <c r="B51" s="41"/>
      <c r="C51" s="41"/>
      <c r="D51" s="40" t="s">
        <v>624</v>
      </c>
    </row>
    <row r="52" ht="14.25" customHeight="1">
      <c r="A52" s="41"/>
      <c r="B52" s="41"/>
      <c r="C52" s="41"/>
      <c r="D52" s="40"/>
    </row>
    <row r="53" ht="14.25" customHeight="1">
      <c r="A53" s="41"/>
      <c r="B53" s="41"/>
      <c r="C53" s="41"/>
      <c r="D53" s="40" t="s">
        <v>625</v>
      </c>
    </row>
    <row r="54" ht="14.25" customHeight="1">
      <c r="A54" s="41"/>
      <c r="B54" s="41"/>
      <c r="C54" s="41"/>
      <c r="D54" s="40"/>
    </row>
    <row r="55" ht="28.5" customHeight="1">
      <c r="A55" s="41"/>
      <c r="B55" s="41"/>
      <c r="C55" s="41"/>
      <c r="D55" s="40" t="s">
        <v>628</v>
      </c>
    </row>
    <row r="56" ht="14.25" customHeight="1">
      <c r="A56" s="41"/>
      <c r="B56" s="41"/>
      <c r="C56" s="41"/>
      <c r="D56" s="40"/>
    </row>
    <row r="57" ht="14.25" customHeight="1">
      <c r="A57" s="41"/>
      <c r="B57" s="41"/>
      <c r="C57" s="41"/>
      <c r="D57" s="40" t="s">
        <v>629</v>
      </c>
    </row>
    <row r="58" ht="14.25" customHeight="1">
      <c r="A58" s="41"/>
      <c r="B58" s="41"/>
      <c r="C58" s="41"/>
      <c r="D58" s="40"/>
    </row>
    <row r="59" ht="28.5" customHeight="1">
      <c r="A59" s="42"/>
      <c r="B59" s="42"/>
      <c r="C59" s="42"/>
      <c r="D59" s="43" t="s">
        <v>632</v>
      </c>
    </row>
    <row r="60" ht="75.75" customHeight="1">
      <c r="A60" s="36" t="s">
        <v>633</v>
      </c>
      <c r="B60" s="46" t="s">
        <v>634</v>
      </c>
      <c r="C60" s="46" t="s">
        <v>638</v>
      </c>
      <c r="D60" s="46" t="s">
        <v>639</v>
      </c>
    </row>
    <row r="61" ht="14.25" customHeight="1">
      <c r="A61" s="47"/>
      <c r="B61" s="47"/>
      <c r="C61" s="47"/>
      <c r="D61" s="47"/>
    </row>
    <row r="62" ht="14.25" customHeight="1">
      <c r="A62" s="47"/>
      <c r="B62" s="47"/>
      <c r="C62" s="47"/>
      <c r="D62" s="47"/>
    </row>
    <row r="63" ht="14.25" customHeight="1">
      <c r="A63" s="47"/>
      <c r="B63" s="47"/>
      <c r="C63" s="47"/>
      <c r="D63" s="47"/>
    </row>
    <row r="64" ht="14.25" customHeight="1">
      <c r="A64" s="47"/>
      <c r="B64" s="47"/>
      <c r="C64" s="47"/>
      <c r="D64" s="47"/>
    </row>
    <row r="65" ht="14.25" customHeight="1">
      <c r="A65" s="47"/>
      <c r="B65" s="47"/>
      <c r="C65" s="47"/>
      <c r="D65" s="47"/>
    </row>
    <row r="66" ht="14.25" customHeight="1">
      <c r="A66" s="47"/>
      <c r="B66" s="47"/>
      <c r="C66" s="47"/>
      <c r="D66" s="47"/>
    </row>
    <row r="67" ht="14.25" customHeight="1">
      <c r="A67" s="47"/>
      <c r="B67" s="47"/>
      <c r="C67" s="47"/>
      <c r="D67" s="47"/>
    </row>
    <row r="68" ht="14.25" customHeight="1">
      <c r="A68" s="47"/>
      <c r="B68" s="47"/>
      <c r="C68" s="47"/>
      <c r="D68" s="47"/>
    </row>
    <row r="69" ht="14.25" customHeight="1">
      <c r="A69" s="47"/>
      <c r="B69" s="47"/>
      <c r="C69" s="47"/>
      <c r="D69" s="47"/>
    </row>
    <row r="70" ht="14.25" customHeight="1">
      <c r="A70" s="47"/>
      <c r="B70" s="47"/>
      <c r="C70" s="47"/>
      <c r="D70" s="47"/>
    </row>
    <row r="71" ht="14.25" customHeight="1">
      <c r="A71" s="47"/>
      <c r="B71" s="47"/>
      <c r="C71" s="47"/>
      <c r="D71" s="47"/>
    </row>
    <row r="72" ht="14.25" customHeight="1">
      <c r="A72" s="47"/>
      <c r="B72" s="47"/>
      <c r="C72" s="47"/>
      <c r="D72" s="47"/>
    </row>
    <row r="73" ht="14.25" customHeight="1">
      <c r="A73" s="47"/>
      <c r="B73" s="47"/>
      <c r="C73" s="47"/>
      <c r="D73" s="47"/>
    </row>
    <row r="74" ht="14.25" customHeight="1">
      <c r="A74" s="47"/>
      <c r="B74" s="47"/>
      <c r="C74" s="47"/>
      <c r="D74" s="47"/>
    </row>
    <row r="75" ht="14.25" customHeight="1">
      <c r="A75" s="47"/>
      <c r="B75" s="47"/>
      <c r="C75" s="47"/>
      <c r="D75" s="47"/>
    </row>
    <row r="76" ht="14.25" customHeight="1">
      <c r="A76" s="47"/>
      <c r="B76" s="47"/>
      <c r="C76" s="47"/>
      <c r="D76" s="47"/>
    </row>
    <row r="77" ht="14.25" customHeight="1">
      <c r="A77" s="47"/>
      <c r="B77" s="47"/>
      <c r="C77" s="47"/>
      <c r="D77" s="47"/>
    </row>
    <row r="78" ht="14.25" customHeight="1">
      <c r="A78" s="47"/>
      <c r="B78" s="47"/>
      <c r="C78" s="47"/>
      <c r="D78" s="47"/>
    </row>
    <row r="79" ht="14.25" customHeight="1">
      <c r="A79" s="47"/>
      <c r="B79" s="47"/>
      <c r="C79" s="47"/>
      <c r="D79" s="47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8:B44"/>
    <mergeCell ref="C38:C44"/>
    <mergeCell ref="A45:A59"/>
    <mergeCell ref="B45:B59"/>
    <mergeCell ref="C45:C59"/>
    <mergeCell ref="A4:A20"/>
    <mergeCell ref="B4:B20"/>
    <mergeCell ref="C4:C20"/>
    <mergeCell ref="A21:A37"/>
    <mergeCell ref="B21:B37"/>
    <mergeCell ref="C21:C37"/>
    <mergeCell ref="A38:A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2026-09-16T22:17:14Z</dcterms:created>
  <dc:creator>openpyxl</dc:creator>
</cp:coreProperties>
</file>